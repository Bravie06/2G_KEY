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50054643\Downloads\"/>
    </mc:Choice>
  </mc:AlternateContent>
  <xr:revisionPtr revIDLastSave="0" documentId="13_ncr:1_{2707FD72-78AC-4F73-ABA6-C7D9A0A5F898}" xr6:coauthVersionLast="47" xr6:coauthVersionMax="47" xr10:uidLastSave="{00000000-0000-0000-0000-000000000000}"/>
  <bookViews>
    <workbookView xWindow="-120" yWindow="-120" windowWidth="29040" windowHeight="18720" activeTab="1" xr2:uid="{00000000-000D-0000-FFFF-FFFF00000000}"/>
  </bookViews>
  <sheets>
    <sheet name="Sheet1" sheetId="3" r:id="rId1"/>
    <sheet name="Sheet2" sheetId="4" r:id="rId2"/>
    <sheet name="Sheet0" sheetId="1" r:id="rId3"/>
    <sheet name="KPI(Counter)" sheetId="2" r:id="rId4"/>
  </sheets>
  <calcPr calcId="191029"/>
  <pivotCaches>
    <pivotCache cacheId="4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Q3" i="1" l="1"/>
  <c r="AQ4" i="1"/>
  <c r="AQ5" i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60" i="1"/>
  <c r="AQ61" i="1"/>
  <c r="AQ62" i="1"/>
  <c r="AQ63" i="1"/>
  <c r="AQ64" i="1"/>
  <c r="AQ65" i="1"/>
  <c r="AQ66" i="1"/>
  <c r="AQ67" i="1"/>
  <c r="AQ68" i="1"/>
  <c r="AQ69" i="1"/>
  <c r="AQ70" i="1"/>
  <c r="AQ71" i="1"/>
  <c r="AQ72" i="1"/>
  <c r="AQ73" i="1"/>
  <c r="AQ74" i="1"/>
  <c r="AQ75" i="1"/>
  <c r="AQ76" i="1"/>
  <c r="AQ77" i="1"/>
  <c r="AQ78" i="1"/>
  <c r="AQ79" i="1"/>
  <c r="AQ80" i="1"/>
  <c r="AQ81" i="1"/>
  <c r="AQ82" i="1"/>
  <c r="AQ83" i="1"/>
  <c r="AQ84" i="1"/>
  <c r="AQ85" i="1"/>
  <c r="AQ86" i="1"/>
  <c r="AQ87" i="1"/>
  <c r="AQ88" i="1"/>
  <c r="AQ89" i="1"/>
  <c r="AQ90" i="1"/>
  <c r="AQ91" i="1"/>
  <c r="AQ92" i="1"/>
  <c r="AQ93" i="1"/>
  <c r="AQ2" i="1"/>
</calcChain>
</file>

<file path=xl/sharedStrings.xml><?xml version="1.0" encoding="utf-8"?>
<sst xmlns="http://schemas.openxmlformats.org/spreadsheetml/2006/main" count="2202" uniqueCount="615">
  <si>
    <t>Begin Time</t>
  </si>
  <si>
    <t>End Time</t>
  </si>
  <si>
    <t>Granularity</t>
  </si>
  <si>
    <t>SubnetWork ID</t>
  </si>
  <si>
    <t>SubnetWork Name</t>
  </si>
  <si>
    <t>ManagedElement ID</t>
  </si>
  <si>
    <t>Managed Element</t>
  </si>
  <si>
    <t>SITE ID</t>
  </si>
  <si>
    <t>SITE Name</t>
  </si>
  <si>
    <t>ORA_2G_TCH Availability Normal TRXs</t>
  </si>
  <si>
    <t>ORA_2G_CS_TRAFFIC</t>
  </si>
  <si>
    <t>ORA_2G_Traffic_Data_Mbytes</t>
  </si>
  <si>
    <t>ORA_2G_CSSR_CS_New(%)</t>
  </si>
  <si>
    <t>ORA_2G_CSSR_Data_New(%)</t>
  </si>
  <si>
    <t>ORA_2G_Call_Drop_CS_New(%)</t>
  </si>
  <si>
    <t>ORA_2G_SDCCH_Drop_Rate_New(%)</t>
  </si>
  <si>
    <t>ORA_2G_TBF Drop rate</t>
  </si>
  <si>
    <t>TCH dropped call total number</t>
  </si>
  <si>
    <t>Number of SDCCH drops</t>
  </si>
  <si>
    <t>ORA_2G_TCH_Blocking_Rate_New(%)</t>
  </si>
  <si>
    <t>ORA_2G_SDCCH_Blocking_New(%)</t>
  </si>
  <si>
    <t>Number of call drops due to radio link failure</t>
  </si>
  <si>
    <t>Number of call drops due to handover failure</t>
  </si>
  <si>
    <t>Number of call drops due to LAPD link failure</t>
  </si>
  <si>
    <t>Number of call drops due to TCH wireless link failure</t>
  </si>
  <si>
    <t>ABIS Downlink packet drop (%)</t>
  </si>
  <si>
    <t>OCM_2G_TCH_Normal_Assignment_SR(%)</t>
  </si>
  <si>
    <t>Number of voice TCH/F assignment success</t>
  </si>
  <si>
    <t>TCH attempt total number(exclude handover)</t>
  </si>
  <si>
    <t>Number of SDCCH assignment attempts</t>
  </si>
  <si>
    <t>Number of sample with interference band</t>
  </si>
  <si>
    <t>TCH_ESTAB_FAILURE_RATE</t>
  </si>
  <si>
    <t>ORA_2G_Handover_SR_New</t>
  </si>
  <si>
    <t>handover failure ratio</t>
  </si>
  <si>
    <t>Number of HO drops due to Long Distance between MS and Network</t>
  </si>
  <si>
    <t>ORA_2G_DL_Cumulative_RxQual_Class5_New(%)</t>
  </si>
  <si>
    <t>ORA_2G_HO_ratio_DL_Quality</t>
  </si>
  <si>
    <t>ORA_2G_HO_ratio_UL_Quality</t>
  </si>
  <si>
    <t>ORA_2G_HR_ratio</t>
  </si>
  <si>
    <t>2G_Downtime_Combine(en s)</t>
  </si>
  <si>
    <t>Number of healthy TRXs</t>
  </si>
  <si>
    <t>ORA_2G_EGPRS_DL_Throughput(kbit/s)</t>
  </si>
  <si>
    <t>1 hour</t>
  </si>
  <si>
    <t>KPI or Counter</t>
  </si>
  <si>
    <t>KPI or Counter Description</t>
  </si>
  <si>
    <t>Indicator Formula</t>
  </si>
  <si>
    <t>KPI or Counter Status</t>
  </si>
  <si>
    <t>1709710924331</t>
  </si>
  <si>
    <t>(C901080009+C901080028+C901080019+C901040005)/(C901080009+C901080028+C901080019+C901080010+C901080029+C901080020+C901040005+C901040006)</t>
  </si>
  <si>
    <t>Normal</t>
  </si>
  <si>
    <t>C901080019</t>
  </si>
  <si>
    <t>Number of available static TCH/Hs</t>
  </si>
  <si>
    <t>C901080029</t>
  </si>
  <si>
    <t>Number of unavailable defined TCH/Fs</t>
  </si>
  <si>
    <t>C901080028</t>
  </si>
  <si>
    <t>Number of available static TCH/Fs</t>
  </si>
  <si>
    <t>C901040006</t>
  </si>
  <si>
    <t>Number of unavailable static PDCH</t>
  </si>
  <si>
    <t>C901080009</t>
  </si>
  <si>
    <t>Average number of available dynamic radio channel</t>
  </si>
  <si>
    <t>C901040005</t>
  </si>
  <si>
    <t>Number of available static PDCH</t>
  </si>
  <si>
    <t>C901080010</t>
  </si>
  <si>
    <t>Average number of unavailable dynamic radio channel</t>
  </si>
  <si>
    <t>C901080020</t>
  </si>
  <si>
    <t>Number of unavailable defined TCH/Hs</t>
  </si>
  <si>
    <t>1709710924293</t>
  </si>
  <si>
    <t>(C901080023+C901080015)/3600</t>
  </si>
  <si>
    <t>C901080015</t>
  </si>
  <si>
    <t>TCH/H busy time(s)</t>
  </si>
  <si>
    <t>C901080023</t>
  </si>
  <si>
    <t>TCH/F busy time(s)</t>
  </si>
  <si>
    <t>1709710924294</t>
  </si>
  <si>
    <t>(((C901030044*160+C901030045*240+C901030046*288+C901030047*400+C901030057*160+C901030058*240+C901030059*288+C901030060*400+C901030070*160+C901030071*240+C901030072*288+C901030073*400)+((C901030048+C901030061+C901030074)*176+(C901030049+C901030062+C901030075)*224+(C901030050+C901030063+C901030076)*296+(C901030051+C901030064+C901030077)*352+(C901030052+C901030065+C901030078)*448+(C901030053+C901030066+C901030079)*592+(C901030054+C901030067+C901030080)*448+(C901030055+C901030068+C901030081)*544+(C901030056+C901030069+C901030082)*592))/1000/8+((C901030002*160+C901030003*240+C901030004*288+C901030005*400+C901030015*160+C901030016*240+C901030017*288+C901030018*400+C901030028*160+C901030029*240+C901030030*288+C901030031*400)+((C901030006+C901030019+C901030032)*176+(C901030007+C901030020+C901030033)*224+(C901030008+C901030021+C901030034)*296+(C901030009+C901030022+C901030035)*352+(C901030010+C901030023+C901030036)*448+(C901030011+C901030024+C901030037)*592+(C901030012+C901030025+C901030038)*448+(C901030013+C901030026+C901030039)*544+(C901030014+C901030027+C901030040)*592))/1000/8)/1000</t>
  </si>
  <si>
    <t>C901030039</t>
  </si>
  <si>
    <t>Number of downlink RLC new blocks in MCS8 on PDTCH(Blocks)</t>
  </si>
  <si>
    <t>C901030046</t>
  </si>
  <si>
    <t>Number of uplink RLC pending blocks in CS3 on PDTCH(Blocks)</t>
  </si>
  <si>
    <t>C901030002</t>
  </si>
  <si>
    <t>Number of downlink RLC pending blocks in CS1 on PDTCH(Blocks)</t>
  </si>
  <si>
    <t>C901030047</t>
  </si>
  <si>
    <t>Number of uplink RLC pending blocks in CS4 on PDTCH(Blocks)</t>
  </si>
  <si>
    <t>C901030003</t>
  </si>
  <si>
    <t>Number of downlink RLC pending blocks in CS2 on PDTCH(Blocks)</t>
  </si>
  <si>
    <t>C901030048</t>
  </si>
  <si>
    <t>Number of uplink RLC pending blocks in MCS1 on PDTCH(Blocks)</t>
  </si>
  <si>
    <t>C901030004</t>
  </si>
  <si>
    <t>Number of downlink RLC pending blocks in CS3 on PDTCH(Blocks)</t>
  </si>
  <si>
    <t>C901030049</t>
  </si>
  <si>
    <t>Number of uplink RLC pending blocks in MCS2 on PDTCH(Blocks)</t>
  </si>
  <si>
    <t>C901030005</t>
  </si>
  <si>
    <t>Number of downlink RLC pending blocks in CS4 on PDTCH(Blocks)</t>
  </si>
  <si>
    <t>C901030044</t>
  </si>
  <si>
    <t>Number of uplink RLC pending blocks in CS1 on PDTCH(Blocks)</t>
  </si>
  <si>
    <t>C901030045</t>
  </si>
  <si>
    <t>Number of uplink RLC pending blocks in CS2 on PDTCH(Blocks)</t>
  </si>
  <si>
    <t>C901030082</t>
  </si>
  <si>
    <t>Number of uplink RLC new blocks in MCS9 on PDTCH(Blocks)</t>
  </si>
  <si>
    <t>C901030040</t>
  </si>
  <si>
    <t>Number of downlink RLC new blocks in MCS9 on PDTCH(Blocks)</t>
  </si>
  <si>
    <t>C901030080</t>
  </si>
  <si>
    <t>Number of uplink RLC new blocks in MCS7 on PDTCH(Blocks)</t>
  </si>
  <si>
    <t>C901030081</t>
  </si>
  <si>
    <t>Number of uplink RLC new blocks in MCS8 on PDTCH(Blocks)</t>
  </si>
  <si>
    <t>C901030006</t>
  </si>
  <si>
    <t>Number of downlink RLC pending blocks in MCS1 on PDTCH(Blocks)</t>
  </si>
  <si>
    <t>C901030007</t>
  </si>
  <si>
    <t>Number of downlink RLC pending blocks in MCS2 on PDTCH(Blocks)</t>
  </si>
  <si>
    <t>C901030008</t>
  </si>
  <si>
    <t>Number of downlink RLC pending blocks in MCS3 on PDTCH(Blocks)</t>
  </si>
  <si>
    <t>C901030009</t>
  </si>
  <si>
    <t>Number of downlink RLC pending blocks in MCS4 on PDTCH(Blocks)</t>
  </si>
  <si>
    <t>C901030057</t>
  </si>
  <si>
    <t>Number of uplink RLC NACK blocks in CS1 on PDTCH(Blocks)</t>
  </si>
  <si>
    <t>C901030013</t>
  </si>
  <si>
    <t>Number of downlink RLC pending blocks in MCS8 on PDTCH(Blocks)</t>
  </si>
  <si>
    <t>C901030058</t>
  </si>
  <si>
    <t>Number of uplink RLC NACK blocks in CS2 on PDTCH(Blocks)</t>
  </si>
  <si>
    <t>C901030014</t>
  </si>
  <si>
    <t>Number of downlink RLC pending blocks in MCS9 on PDTCH(Blocks)</t>
  </si>
  <si>
    <t>C901030059</t>
  </si>
  <si>
    <t>Number of uplink RLC NACK blocks in CS3 on PDTCH(Blocks)</t>
  </si>
  <si>
    <t>C901030015</t>
  </si>
  <si>
    <t>Number of downlink RLC NACK blocks in CS1 on PDTCH(Blocks)</t>
  </si>
  <si>
    <t>C901030016</t>
  </si>
  <si>
    <t>Number of downlink RLC NACK blocks in CS2 on PDTCH(Blocks)</t>
  </si>
  <si>
    <t>C901030053</t>
  </si>
  <si>
    <t>Number of uplink RLC pending blocks in MCS6 on PDTCH(Blocks)</t>
  </si>
  <si>
    <t>C901030054</t>
  </si>
  <si>
    <t>Number of uplink RLC pending blocks in MCS7 on PDTCH(Blocks)</t>
  </si>
  <si>
    <t>C901030010</t>
  </si>
  <si>
    <t>Number of downlink RLC pending blocks in MCS5 on PDTCH(Blocks)</t>
  </si>
  <si>
    <t>C901030055</t>
  </si>
  <si>
    <t>Number of uplink RLC pending blocks in MCS8 on PDTCH(Blocks)</t>
  </si>
  <si>
    <t>C901030011</t>
  </si>
  <si>
    <t>Number of downlink RLC pending blocks in MCS6 on PDTCH(Blocks)</t>
  </si>
  <si>
    <t>C901030056</t>
  </si>
  <si>
    <t>Number of uplink RLC pending blocks in MCS9 on PDTCH(Blocks)</t>
  </si>
  <si>
    <t>C901030012</t>
  </si>
  <si>
    <t>Number of downlink RLC pending blocks in MCS7 on PDTCH(Blocks)</t>
  </si>
  <si>
    <t>C901030050</t>
  </si>
  <si>
    <t>Number of uplink RLC pending blocks in MCS3 on PDTCH(Blocks)</t>
  </si>
  <si>
    <t>C901030051</t>
  </si>
  <si>
    <t>Number of uplink RLC pending blocks in MCS4 on PDTCH(Blocks)</t>
  </si>
  <si>
    <t>C901030052</t>
  </si>
  <si>
    <t>Number of uplink RLC pending blocks in MCS5 on PDTCH(Blocks)</t>
  </si>
  <si>
    <t>C901030017</t>
  </si>
  <si>
    <t>Number of downlink RLC NACK blocks in CS3 on PDTCH(Blocks)</t>
  </si>
  <si>
    <t>C901030018</t>
  </si>
  <si>
    <t>Number of downlink RLC NACK blocks in CS4 on PDTCH(Blocks)</t>
  </si>
  <si>
    <t>C901030019</t>
  </si>
  <si>
    <t>Number of downlink RLC NACK blocks in MCS1 on PDTCH(Blocks)</t>
  </si>
  <si>
    <t>C901030068</t>
  </si>
  <si>
    <t>Number of uplink RLC NACK blocks in MCS8 on PDTCH(Blocks)</t>
  </si>
  <si>
    <t>C901030024</t>
  </si>
  <si>
    <t>Number of downlink RLC NACK blocks in MCS6 on PDTCH(Blocks)</t>
  </si>
  <si>
    <t>C901030069</t>
  </si>
  <si>
    <t>Number of uplink RLC NACK blocks in MCS9 on PDTCH(Blocks)</t>
  </si>
  <si>
    <t>C901030025</t>
  </si>
  <si>
    <t>Number of downlink RLC NACK blocks in MCS7 on PDTCH(Blocks)</t>
  </si>
  <si>
    <t>C901030026</t>
  </si>
  <si>
    <t>Number of downlink RLC NACK blocks in MCS8 on PDTCH(Blocks)</t>
  </si>
  <si>
    <t>C901030027</t>
  </si>
  <si>
    <t>Number of downlink RLC NACK blocks in MCS9 on PDTCH(Blocks)</t>
  </si>
  <si>
    <t>C901030064</t>
  </si>
  <si>
    <t>Number of uplink RLC NACK blocks in MCS4 on PDTCH(Blocks)</t>
  </si>
  <si>
    <t>C901030020</t>
  </si>
  <si>
    <t>Number of downlink RLC NACK blocks in MCS2 on PDTCH(Blocks)</t>
  </si>
  <si>
    <t>C901030065</t>
  </si>
  <si>
    <t>Number of uplink RLC NACK blocks in MCS5 on PDTCH(Blocks)</t>
  </si>
  <si>
    <t>C901030021</t>
  </si>
  <si>
    <t>Number of downlink RLC NACK blocks in MCS3 on PDTCH(Blocks)</t>
  </si>
  <si>
    <t>C901030066</t>
  </si>
  <si>
    <t>Number of uplink RLC NACK blocks in MCS6 on PDTCH(Blocks)</t>
  </si>
  <si>
    <t>C901030022</t>
  </si>
  <si>
    <t>Number of downlink RLC NACK blocks in MCS4 on PDTCH(Blocks)</t>
  </si>
  <si>
    <t>C901030067</t>
  </si>
  <si>
    <t>Number of uplink RLC NACK blocks in MCS7 on PDTCH(Blocks)</t>
  </si>
  <si>
    <t>C901030023</t>
  </si>
  <si>
    <t>Number of downlink RLC NACK blocks in MCS5 on PDTCH(Blocks)</t>
  </si>
  <si>
    <t>C901030060</t>
  </si>
  <si>
    <t>Number of uplink RLC NACK blocks in CS4 on PDTCH(Blocks)</t>
  </si>
  <si>
    <t>C901030061</t>
  </si>
  <si>
    <t>Number of uplink RLC NACK blocks in MCS1 on PDTCH(Blocks)</t>
  </si>
  <si>
    <t>C901030062</t>
  </si>
  <si>
    <t>Number of uplink RLC NACK blocks in MCS2 on PDTCH(Blocks)</t>
  </si>
  <si>
    <t>C901030063</t>
  </si>
  <si>
    <t>Number of uplink RLC NACK blocks in MCS3 on PDTCH(Blocks)</t>
  </si>
  <si>
    <t>C901030028</t>
  </si>
  <si>
    <t>Number of downlink RLC new blocks in CS1 on PDTCH(Blocks)</t>
  </si>
  <si>
    <t>C901030029</t>
  </si>
  <si>
    <t>Number of downlink RLC new blocks in CS2 on PDTCH(Blocks)</t>
  </si>
  <si>
    <t>C901030079</t>
  </si>
  <si>
    <t>Number of uplink RLC new blocks in MCS6 on PDTCH(Blocks)</t>
  </si>
  <si>
    <t>C901030035</t>
  </si>
  <si>
    <t>Number of downlink RLC new blocks in MCS4 on PDTCH(Blocks)</t>
  </si>
  <si>
    <t>C901030036</t>
  </si>
  <si>
    <t>Number of downlink RLC new blocks in MCS5 on PDTCH(Blocks)</t>
  </si>
  <si>
    <t>C901030037</t>
  </si>
  <si>
    <t>Number of downlink RLC new blocks in MCS6 on PDTCH(Blocks)</t>
  </si>
  <si>
    <t>C901030038</t>
  </si>
  <si>
    <t>Number of downlink RLC new blocks in MCS7 on PDTCH(Blocks)</t>
  </si>
  <si>
    <t>C901030075</t>
  </si>
  <si>
    <t>Number of uplink RLC new blocks in MCS2 on PDTCH(Blocks)</t>
  </si>
  <si>
    <t>C901030031</t>
  </si>
  <si>
    <t>Number of downlink RLC new blocks in CS4 on PDTCH(Blocks)</t>
  </si>
  <si>
    <t>C901030076</t>
  </si>
  <si>
    <t>Number of uplink RLC new blocks in MCS3 on PDTCH(Blocks)</t>
  </si>
  <si>
    <t>C901030032</t>
  </si>
  <si>
    <t>Number of downlink RLC new blocks in MCS1 on PDTCH(Blocks)</t>
  </si>
  <si>
    <t>C901030077</t>
  </si>
  <si>
    <t>Number of uplink RLC new blocks in MCS4 on PDTCH(Blocks)</t>
  </si>
  <si>
    <t>C901030033</t>
  </si>
  <si>
    <t>Number of downlink RLC new blocks in MCS2 on PDTCH(Blocks)</t>
  </si>
  <si>
    <t>C901030078</t>
  </si>
  <si>
    <t>Number of uplink RLC new blocks in MCS5 on PDTCH(Blocks)</t>
  </si>
  <si>
    <t>C901030034</t>
  </si>
  <si>
    <t>Number of downlink RLC new blocks in MCS3 on PDTCH(Blocks)</t>
  </si>
  <si>
    <t>C901030071</t>
  </si>
  <si>
    <t>Number of uplink RLC new blocks in CS2 on PDTCH(Blocks)</t>
  </si>
  <si>
    <t>C901030072</t>
  </si>
  <si>
    <t>Number of uplink RLC new blocks in CS3 on PDTCH(Blocks)</t>
  </si>
  <si>
    <t>C901030073</t>
  </si>
  <si>
    <t>Number of uplink RLC new blocks in CS4 on PDTCH(Blocks)</t>
  </si>
  <si>
    <t>C901030074</t>
  </si>
  <si>
    <t>Number of uplink RLC new blocks in MCS1 on PDTCH(Blocks)</t>
  </si>
  <si>
    <t>C901030030</t>
  </si>
  <si>
    <t>Number of downlink RLC new blocks in CS3 on PDTCH(Blocks)</t>
  </si>
  <si>
    <t>C901030070</t>
  </si>
  <si>
    <t>Number of uplink RLC new blocks in CS1 on PDTCH(Blocks)</t>
  </si>
  <si>
    <t>1709710925079</t>
  </si>
  <si>
    <t>100*(1-(C901250003)/(C901250001))*(1-(C901070050/C901250014))*(C901260063+C901260088+C901270063+C901270088)/(C901260020+C901260069+C901270020+C901270069)</t>
  </si>
  <si>
    <t>C901270069</t>
  </si>
  <si>
    <t>Number of data TCH/H seizure attempts for assignment</t>
  </si>
  <si>
    <t>C901270088</t>
  </si>
  <si>
    <t>Number of data TCH/H assignment success</t>
  </si>
  <si>
    <t>C901270020</t>
  </si>
  <si>
    <t>Number of voice TCH/H seizure attempts for assignment</t>
  </si>
  <si>
    <t>C901270063</t>
  </si>
  <si>
    <t>Number of voice TCH/H assignment success</t>
  </si>
  <si>
    <t>C901260063</t>
  </si>
  <si>
    <t>C901250001</t>
  </si>
  <si>
    <t>Number of SDCCH seizure attempts for assignment</t>
  </si>
  <si>
    <t>C901260020</t>
  </si>
  <si>
    <t>Number of voice TCH/F seizure attempts for assignment</t>
  </si>
  <si>
    <t>C901260088</t>
  </si>
  <si>
    <t>Number of data TCH/F assignment success</t>
  </si>
  <si>
    <t>C901070050</t>
  </si>
  <si>
    <t>C901260069</t>
  </si>
  <si>
    <t>Number of data TCH/F seizure attempts for assignment</t>
  </si>
  <si>
    <t>C901250003</t>
  </si>
  <si>
    <t>Number of SDCCH seizure failure for assignment</t>
  </si>
  <si>
    <t>C901250014</t>
  </si>
  <si>
    <t>Number of SDCCH assignment success</t>
  </si>
  <si>
    <t>1709710925085</t>
  </si>
  <si>
    <t>(C901010020+C901010041+C901010021+C901010042+(C901190049-C901190050)+(C901200049-C901200050)+(C901190036-C901190037)+(C901200036-C901200037)+C901010001+C901010022)/(C901010003+C901010004+C901010005+C901010009+C901010024+C901010025+C901010026+C901010030+C901190049+C901200049+C901190036+C901200036+C901010001+C901010022)*(C901000021+C901000043+C901000022+C901000044+(C901170021-C901170022)+(C901180021-C901180022)+(C901170034-C901170035)+(C901180034-C901180035)+C901000001+C901000023)/(C901000002+C901000003+C901000004+C901000008+C901000024+C901000025+C901000026+C901000030+C901170021+C901180021+C901170034+C901180034+C901000001+C901000023)</t>
  </si>
  <si>
    <t>C901010030</t>
  </si>
  <si>
    <t>Number of establishing EGPRS uplink TBF on CCCH/PCCCH</t>
  </si>
  <si>
    <t>C901170021</t>
  </si>
  <si>
    <t>Number of GPRS downlink TBF resource reallocation requests as uplink TBF establishment</t>
  </si>
  <si>
    <t>C901170022</t>
  </si>
  <si>
    <t>Number of GPRS downlink TBF resource reallocation failure due to DBS allocation as uplink TBF establishment</t>
  </si>
  <si>
    <t>C901190050</t>
  </si>
  <si>
    <t>Number of GPRS uplink TBF resource reallocation failure due to DBS allocation for LLC transmission</t>
  </si>
  <si>
    <t>C901010009</t>
  </si>
  <si>
    <t>Number of requests for establishing GPRS uplink TBF on CCCH/PCCCH</t>
  </si>
  <si>
    <t>C901190049</t>
  </si>
  <si>
    <t>Number of GPRS uplink TBF resource reallocation requests for LLC transmission</t>
  </si>
  <si>
    <t>C901200049</t>
  </si>
  <si>
    <t>Number of EGPRS uplink TBF resource reallocation requests for LLC transmission</t>
  </si>
  <si>
    <t>C901000030</t>
  </si>
  <si>
    <t>Number of requests for establishing EGPRS downlink TBF on CCCH/PCCCH</t>
  </si>
  <si>
    <t>C901180034</t>
  </si>
  <si>
    <t>Number of EGPRS downlink TBF resource reallocation requests for LLC transmission</t>
  </si>
  <si>
    <t>C901170034</t>
  </si>
  <si>
    <t>Number of GPRS downlink TBF resource reallocation requests for LLC transmission</t>
  </si>
  <si>
    <t>C901010041</t>
  </si>
  <si>
    <t>Number of EGPRS uplink signaling TBF link establishment</t>
  </si>
  <si>
    <t>C901170035</t>
  </si>
  <si>
    <t>Number of GPRS downlink TBF resource reallocation failure due to DBS allocation for LLC transmission</t>
  </si>
  <si>
    <t>C901010020</t>
  </si>
  <si>
    <t>Number of GPRS uplink signaling TBF link establishment</t>
  </si>
  <si>
    <t>C901010042</t>
  </si>
  <si>
    <t>Number of EGPRS uplink data TBF link establishment</t>
  </si>
  <si>
    <t>C901010021</t>
  </si>
  <si>
    <t>Number of GPRS uplink data TBF link establishment</t>
  </si>
  <si>
    <t>C901010022</t>
  </si>
  <si>
    <t>Number of received new data blocks in EGPRS extended uplink state</t>
  </si>
  <si>
    <t>C901180035</t>
  </si>
  <si>
    <t>Number of EGPRS downlink TBF resource reallocation failure due to DBS allocation for LLC transmission</t>
  </si>
  <si>
    <t>C901010001</t>
  </si>
  <si>
    <t>Number of received new data blocks in GPRS extended uplink state</t>
  </si>
  <si>
    <t>C901010024</t>
  </si>
  <si>
    <t>Number of establishing EGPRS uplink TBF in released state</t>
  </si>
  <si>
    <t>C901010003</t>
  </si>
  <si>
    <t>Number of establishing GPRS uplink TBF in released state</t>
  </si>
  <si>
    <t>C901010025</t>
  </si>
  <si>
    <t>Number of establishing EGPRS uplink TBF with available uplink resource</t>
  </si>
  <si>
    <t>C901010004</t>
  </si>
  <si>
    <t>Number of establishing GPRS uplink TBF with available uplink resource</t>
  </si>
  <si>
    <t>C901010026</t>
  </si>
  <si>
    <t>Number of requests for establishing EGPRS uplink TBF on PACCH</t>
  </si>
  <si>
    <t>C901010005</t>
  </si>
  <si>
    <t>Number of requests for establishing GPRS uplink TBF on PACCH</t>
  </si>
  <si>
    <t>C901190036</t>
  </si>
  <si>
    <t>Number of GPRS uplink TBF resource reallocation requests as downlink TBF establishment</t>
  </si>
  <si>
    <t>C901200036</t>
  </si>
  <si>
    <t>Number of EGPRS uplink TBF resource reallocation requests as downlink TBF establishment</t>
  </si>
  <si>
    <t>C901000021</t>
  </si>
  <si>
    <t>Number of GPRS downlink signaling TBF link establishment</t>
  </si>
  <si>
    <t>C901000043</t>
  </si>
  <si>
    <t>Number of EGPRS downlink signaling TBF link establishment</t>
  </si>
  <si>
    <t>C901190037</t>
  </si>
  <si>
    <t>Number of GPRS uplink TBF resource reallocation failure due to DBS allocation as downlink TBF establishment</t>
  </si>
  <si>
    <t>C901200037</t>
  </si>
  <si>
    <t>Number of EGPRS uplink TBF resource reallocation failure due to DBS allocation as downlink TBF establishment</t>
  </si>
  <si>
    <t>C901000022</t>
  </si>
  <si>
    <t>Number of GPRS downlink data TBF link establishment</t>
  </si>
  <si>
    <t>C901000044</t>
  </si>
  <si>
    <t>Number of EGPRS downlink data TBF link establishment</t>
  </si>
  <si>
    <t>C901180021</t>
  </si>
  <si>
    <t>Number of downlink EGPRS TBF resource reallocation requests as uplink TBF establishment</t>
  </si>
  <si>
    <t>C901180022</t>
  </si>
  <si>
    <t>Number of EGPRS downlink TBF resource reallocation failure due to DBS allocation as uplink TBF establishment</t>
  </si>
  <si>
    <t>C901000003</t>
  </si>
  <si>
    <t>Number of establishing GPRS downlink TBF without requesting downlink channel resource from control plane</t>
  </si>
  <si>
    <t>C901000025</t>
  </si>
  <si>
    <t>Number of establishing EGPRS downlink TBF without requesting downlink channel resource from control plane</t>
  </si>
  <si>
    <t>C901000004</t>
  </si>
  <si>
    <t>Number of requests for establishing GPRS downlink TBF on PACCH</t>
  </si>
  <si>
    <t>C901000026</t>
  </si>
  <si>
    <t>Number of requests for establishing EGPRS downlink TBF on PACCH</t>
  </si>
  <si>
    <t>C901000001</t>
  </si>
  <si>
    <t>Number of resumption for GPRS downlink TBF in delay state</t>
  </si>
  <si>
    <t>C901000023</t>
  </si>
  <si>
    <t>Number of resumption for EGPRS downlink TBF in delay state</t>
  </si>
  <si>
    <t>C901000002</t>
  </si>
  <si>
    <t>Number of requests for establishing GPRS downlink TBF before T3192 expires</t>
  </si>
  <si>
    <t>C901000024</t>
  </si>
  <si>
    <t>Number of requests for establishing EGPRS downlink TBF before T3192 expires</t>
  </si>
  <si>
    <t>C901200050</t>
  </si>
  <si>
    <t>Number of EGPRS uplink TBF resource reallocation failure due to DBS allocation for LLC transmission</t>
  </si>
  <si>
    <t>C901000008</t>
  </si>
  <si>
    <t>Number of requests for establishing GPRS downlink TBF on CCCH/PCCCH</t>
  </si>
  <si>
    <t>1709710925080</t>
  </si>
  <si>
    <t>100*(C901070051+C901070052-C901050097)/(C901260063+C901260088+C901270063+C901270088+C901090019+C901090036-C901090003-C901090010-C901050097)</t>
  </si>
  <si>
    <t>C901090036</t>
  </si>
  <si>
    <t>Number of MSC-controlled incoming handover success</t>
  </si>
  <si>
    <t>C901090003</t>
  </si>
  <si>
    <t>Number of BSC-controlled inter-cell outgoing handover success</t>
  </si>
  <si>
    <t>C901050097</t>
  </si>
  <si>
    <t>Number of Assingmnet success for call re-establishment</t>
  </si>
  <si>
    <t>C901090019</t>
  </si>
  <si>
    <t>Number of BSC-controlled inter-cell incoming handover success</t>
  </si>
  <si>
    <t>C901070052</t>
  </si>
  <si>
    <t>Number of TCH/H drops</t>
  </si>
  <si>
    <t>C901090010</t>
  </si>
  <si>
    <t>Number of MSC-controlled outgoing handover success</t>
  </si>
  <si>
    <t>C901070051</t>
  </si>
  <si>
    <t>Number of TCH/F drops</t>
  </si>
  <si>
    <t>1709710925082</t>
  </si>
  <si>
    <t>100*(C901070050)/(C901250014)</t>
  </si>
  <si>
    <t>1709710924341</t>
  </si>
  <si>
    <t>(C901010015+C901010036+C901000016+C901000038)/((C901010020+C901010021+C901010041+C901010042)+(C901190036-C901190037)+(C901190049-C901190050)+(C901200036-C901200037)+(C901200049-C901200050)+(C901010001+ C901010022)+(C901000021+C901000022+C901000043+C901000044)+(C901170021-C901170022)+(C901170034-C901170035)+(C901180021-C901180022)+(C901180034-C901180035)+(C901000001+C901000023))</t>
  </si>
  <si>
    <t>C901010036</t>
  </si>
  <si>
    <t>Number of abnormal releases of EGPRS uplink TBF due to N3101 overflow</t>
  </si>
  <si>
    <t>C901010015</t>
  </si>
  <si>
    <t>Number of abnormal releases of GPRS uplink TBF due to N3101 overflow</t>
  </si>
  <si>
    <t>C901000016</t>
  </si>
  <si>
    <t>Number of releases of GPRS downlink TBF due to N3105 overflow</t>
  </si>
  <si>
    <t>C901000038</t>
  </si>
  <si>
    <t>Number of releases of EGPRS downlink TBF due to N3105 overflow</t>
  </si>
  <si>
    <t>306023</t>
  </si>
  <si>
    <t>C901070051+C901070052</t>
  </si>
  <si>
    <t>1709710925084</t>
  </si>
  <si>
    <t>100*(C901260022+C901260071+C901270022+C901270071)/(C901260020+C901260069+C901270020+C901270069)</t>
  </si>
  <si>
    <t>C901270022</t>
  </si>
  <si>
    <t>Number of voice TCH/H seizure failure for assignment</t>
  </si>
  <si>
    <t>C901260071</t>
  </si>
  <si>
    <t>Number of data TCH/F seizure failure for assignment</t>
  </si>
  <si>
    <t>C901270071</t>
  </si>
  <si>
    <t>Number of data TCH/H seizure failure for assignment</t>
  </si>
  <si>
    <t>C901260022</t>
  </si>
  <si>
    <t>Number of voice TCH/F seizure failure for assignment</t>
  </si>
  <si>
    <t>1709710925086</t>
  </si>
  <si>
    <t>100*(C901250003)/(C901250001)</t>
  </si>
  <si>
    <t>1635324977270</t>
  </si>
  <si>
    <t>C901070016+C901070037</t>
  </si>
  <si>
    <t>C901070016</t>
  </si>
  <si>
    <t>Number of voice TCH/F drops due to radio link failure</t>
  </si>
  <si>
    <t>C901070037</t>
  </si>
  <si>
    <t>Number of voice TCH/H drops due to radio link failure</t>
  </si>
  <si>
    <t>1635324977377</t>
  </si>
  <si>
    <t>C901070020+C901070041</t>
  </si>
  <si>
    <t>C901070020</t>
  </si>
  <si>
    <t>Number of voice TCH/F drops due to handover failure</t>
  </si>
  <si>
    <t>C901070041</t>
  </si>
  <si>
    <t>Number of voice TCH/H drops due to handover failure</t>
  </si>
  <si>
    <t>1635324977271</t>
  </si>
  <si>
    <t>C901070017+C901070038</t>
  </si>
  <si>
    <t>C901070017</t>
  </si>
  <si>
    <t>Number of voice TCH/F drops due to LAPD link failure</t>
  </si>
  <si>
    <t>C901070038</t>
  </si>
  <si>
    <t>Number of voice TCH/H drops due to LAPD link failure</t>
  </si>
  <si>
    <t>C901230010</t>
  </si>
  <si>
    <t>1709710930625</t>
  </si>
  <si>
    <t>C901120180/C901120181</t>
  </si>
  <si>
    <t>C901120181</t>
  </si>
  <si>
    <t>Total of downlink packets on Abis interface(Packets)</t>
  </si>
  <si>
    <t>C901120180</t>
  </si>
  <si>
    <t>Number of downlink dropped packets on Abis interface(Packets)</t>
  </si>
  <si>
    <t>1709710925517</t>
  </si>
  <si>
    <t>100*(C901260063+C901260088+C901270063+C901270088)/( C901260020+C901260069+C901270020+C901270069)</t>
  </si>
  <si>
    <t>C900060028</t>
  </si>
  <si>
    <t>306017</t>
  </si>
  <si>
    <t>C901260020+C901260069+C901270020+C901270069</t>
  </si>
  <si>
    <t>C900060241</t>
  </si>
  <si>
    <t>C901120143</t>
  </si>
  <si>
    <t>1709710924705</t>
  </si>
  <si>
    <t>(C901260022+C901270022)/(C901260020+C901270020)</t>
  </si>
  <si>
    <t>1709710927250</t>
  </si>
  <si>
    <t>100*(C901090003+C901090010+C901090107+C902120003+C902120009+C902120040)/(C901090002+C901090009+C901090106+C902120002+C902120008+C902120039)</t>
  </si>
  <si>
    <t>C902120002</t>
  </si>
  <si>
    <t>Number of BSC-controlled inter-cell outgoing handover(on SDCCH)</t>
  </si>
  <si>
    <t>C901090002</t>
  </si>
  <si>
    <t>Number of BSC-controlled inter-cell outgoing handover</t>
  </si>
  <si>
    <t>C902120003</t>
  </si>
  <si>
    <t>Number of BSC-controlled inter-cell outgoing handover success(on SDCCH)</t>
  </si>
  <si>
    <t>C901090106</t>
  </si>
  <si>
    <t>Number of intra-cell handover</t>
  </si>
  <si>
    <t>C902120039</t>
  </si>
  <si>
    <t>C901090009</t>
  </si>
  <si>
    <t>Number of MSC-controlled outgoing handover</t>
  </si>
  <si>
    <t>C902120008</t>
  </si>
  <si>
    <t>Number of MSC-controlled outgoing handover(on SDCCH)</t>
  </si>
  <si>
    <t>C901090107</t>
  </si>
  <si>
    <t>Number of intra-cell handover success</t>
  </si>
  <si>
    <t>C902120009</t>
  </si>
  <si>
    <t>Number of MSC-controlled outgoing handover success(on SDCCH)</t>
  </si>
  <si>
    <t>C902120040</t>
  </si>
  <si>
    <t>1635324972237</t>
  </si>
  <si>
    <t>P1635324971758/(C901070051+C901070052)</t>
  </si>
  <si>
    <t>1635324971758</t>
  </si>
  <si>
    <t>drop due to ho failure</t>
  </si>
  <si>
    <t>C901070234</t>
  </si>
  <si>
    <t>1709710925344</t>
  </si>
  <si>
    <t>100*(C901120044+C901120045+C901120046+C901120047+C901120048+C901120049)/(C901120044+C901120045+C901120046+C901120047+C901120048+C901120049+C901120050+C901120051)</t>
  </si>
  <si>
    <t>C901120050</t>
  </si>
  <si>
    <t>Number of samples with downlink RQ = 6</t>
  </si>
  <si>
    <t>C901120051</t>
  </si>
  <si>
    <t>Number of samples with downlink RQ = 7</t>
  </si>
  <si>
    <t>C901120047</t>
  </si>
  <si>
    <t>Number of samples with downlink RQ = 3</t>
  </si>
  <si>
    <t>C901120046</t>
  </si>
  <si>
    <t>Number of samples with downlink RQ = 2</t>
  </si>
  <si>
    <t>C901120045</t>
  </si>
  <si>
    <t>Number of samples with downlink RQ = 1</t>
  </si>
  <si>
    <t>C901120044</t>
  </si>
  <si>
    <t>Number of samples with downlink RQ = 0</t>
  </si>
  <si>
    <t>C901120049</t>
  </si>
  <si>
    <t>Number of samples with downlink RQ = 5</t>
  </si>
  <si>
    <t>C901120048</t>
  </si>
  <si>
    <t>Number of samples with downlink RQ = 4</t>
  </si>
  <si>
    <t>1709710924297</t>
  </si>
  <si>
    <t>(C901060028+C901060051)/(C901060025+C901060026+C901060027+C901060028+C901060029+C901060030+C901060031+C901060032+C901060033+C901060034+C901060047+C901060048+C901060049+C901060050+C901060051+C901060052+C901060053+C901060054+C901060055+C901060056+C901060057+C901060070+C901060035+C901060036+C901060037+C901060038+C901060039+C901060040+C901060041+C901060042+C901060043+C901060044+C901060080+C901060091+C901060058+C901060059+C901060060+C901060061+C901060062+C901060063+C901060064+C901060065+C901060066+C901060067+C901060081+C901060092)</t>
  </si>
  <si>
    <t>C901060070</t>
  </si>
  <si>
    <t>Number of TCH/H handover attempts due to other causes</t>
  </si>
  <si>
    <t>C901060092</t>
  </si>
  <si>
    <t>Number of TCH/H handover attempts due to downlink quality rapid drop</t>
  </si>
  <si>
    <t>C901060091</t>
  </si>
  <si>
    <t>Number of TCH/F handover attempts due to downlink quality rapid drop</t>
  </si>
  <si>
    <t>C901060057</t>
  </si>
  <si>
    <t>Number of TCH/H handover attempts due to large TA</t>
  </si>
  <si>
    <t>C901060035</t>
  </si>
  <si>
    <t>Number of TCH/F handover attempts due to uplink fast fading</t>
  </si>
  <si>
    <t>C901060034</t>
  </si>
  <si>
    <t>Number of TCH/F handover attempts due to large TA</t>
  </si>
  <si>
    <t>C901060056</t>
  </si>
  <si>
    <t>Number of TCH/H handover attempts due to PBGT</t>
  </si>
  <si>
    <t>C901060033</t>
  </si>
  <si>
    <t>Number of TCH/F handover attempts due to PBGT</t>
  </si>
  <si>
    <t>C901060055</t>
  </si>
  <si>
    <t>Number of TCH/H handover attempts due to bad C/I</t>
  </si>
  <si>
    <t>C901060032</t>
  </si>
  <si>
    <t>Number of TCH/F handover attempts due to bad C/I</t>
  </si>
  <si>
    <t>C901060054</t>
  </si>
  <si>
    <t>Number of TCH/H handover attempts due to good C/I</t>
  </si>
  <si>
    <t>C901060031</t>
  </si>
  <si>
    <t>Number of TCH/F handover attempts due to good C/I</t>
  </si>
  <si>
    <t>C901060053</t>
  </si>
  <si>
    <t>Number of TCH/H handover attempts due to downlink interference</t>
  </si>
  <si>
    <t>C901060030</t>
  </si>
  <si>
    <t>Number of TCH/F handover attempts due to downlink interference</t>
  </si>
  <si>
    <t>C901060052</t>
  </si>
  <si>
    <t>Number of TCH/H handover attempts due to uplink interference</t>
  </si>
  <si>
    <t>C901060051</t>
  </si>
  <si>
    <t>Number of TCH/H handover attempts due to downlink quality</t>
  </si>
  <si>
    <t>C901060050</t>
  </si>
  <si>
    <t>Number of TCH/H handover attempts due to uplink quality</t>
  </si>
  <si>
    <t>C901060029</t>
  </si>
  <si>
    <t>Number of TCH/F handover attempts due to uplink interference</t>
  </si>
  <si>
    <t>C901060028</t>
  </si>
  <si>
    <t>Number of TCH/F handover attempts due to downlink quality</t>
  </si>
  <si>
    <t>C901060027</t>
  </si>
  <si>
    <t>Number of TCH/F handover attempts due to uplink quality</t>
  </si>
  <si>
    <t>C901060049</t>
  </si>
  <si>
    <t>Number of TCH/H handover attempts due to downlink strength</t>
  </si>
  <si>
    <t>C901060026</t>
  </si>
  <si>
    <t>Number of TCH/F handover attempts due to downlink strength</t>
  </si>
  <si>
    <t>C901060048</t>
  </si>
  <si>
    <t>Number of TCH/H handover attempts due to uplink strength</t>
  </si>
  <si>
    <t>C901060025</t>
  </si>
  <si>
    <t>Number of TCH/F handover attempts due to uplink strength</t>
  </si>
  <si>
    <t>C901060047</t>
  </si>
  <si>
    <t>Number of TCH/F handover attempts due to other causes</t>
  </si>
  <si>
    <t>C901060060</t>
  </si>
  <si>
    <t>Number of TCH/H handover attempts due to MSC request</t>
  </si>
  <si>
    <t>C901060081</t>
  </si>
  <si>
    <t>Number of TCH/H handover attempts due to downlink rapid drop</t>
  </si>
  <si>
    <t>C901060080</t>
  </si>
  <si>
    <t>Number of TCH/F handover attempts due to downlink rapid drop</t>
  </si>
  <si>
    <t>C901060067</t>
  </si>
  <si>
    <t>Number of attempts of forced handover during handover (on TCH/H)</t>
  </si>
  <si>
    <t>C901060044</t>
  </si>
  <si>
    <t>Number of attempts of forced handover during handover (on TCH/F)</t>
  </si>
  <si>
    <t>C901060066</t>
  </si>
  <si>
    <t>Number of attempts of forced handover during assignment (on TCH/H)</t>
  </si>
  <si>
    <t>C901060043</t>
  </si>
  <si>
    <t>Number of attempts of forced handover during assignment (on TCH/F)</t>
  </si>
  <si>
    <t>C901060065</t>
  </si>
  <si>
    <t>Number of TCH/H handover attempts due to forced transfer</t>
  </si>
  <si>
    <t>C901060042</t>
  </si>
  <si>
    <t>Number of TCH/F handover attempts due to forced transfer</t>
  </si>
  <si>
    <t>C901060064</t>
  </si>
  <si>
    <t>Number of TCH/H handover attempts due to good level of FDD adjacent cell</t>
  </si>
  <si>
    <t>C901060041</t>
  </si>
  <si>
    <t>Number of TCH/F handover attempts due to good level of FDD adjacent cell</t>
  </si>
  <si>
    <t>C901060063</t>
  </si>
  <si>
    <t>Number of TCH/H handover attempts due to small TA and path loss</t>
  </si>
  <si>
    <t>C901060040</t>
  </si>
  <si>
    <t>Number of TCH/F handover attempts due to small TA and path loss</t>
  </si>
  <si>
    <t>C901060062</t>
  </si>
  <si>
    <t>Number of TCH/H handover attempts due to large TA and path loss</t>
  </si>
  <si>
    <t>C901060061</t>
  </si>
  <si>
    <t>Number of TCH/H handover attempts due to traffic</t>
  </si>
  <si>
    <t>C901060039</t>
  </si>
  <si>
    <t>Number of TCH/F handover attempts due to large TA and path loss</t>
  </si>
  <si>
    <t>C901060038</t>
  </si>
  <si>
    <t>Number of TCH/F handover attempts due to traffic</t>
  </si>
  <si>
    <t>C901060037</t>
  </si>
  <si>
    <t>Number of TCH/F handover attempts due to MSC request</t>
  </si>
  <si>
    <t>C901060059</t>
  </si>
  <si>
    <t>Number of TCH/H handover attempts due to macro-micro switch</t>
  </si>
  <si>
    <t>C901060036</t>
  </si>
  <si>
    <t>Number of TCH/F handover attempts due to macro-micro switch</t>
  </si>
  <si>
    <t>C901060058</t>
  </si>
  <si>
    <t>Number of TCH/H handover attempts due to uplink fast fading</t>
  </si>
  <si>
    <t>1709710924298</t>
  </si>
  <si>
    <t>(C901060027+C901060050)/(C901060025+C901060026+C901060027+C901060028+C901060029+C901060030+C901060031+C901060032+C901060033+C901060034+C901060047+C901060048+C901060049+C901060050+C901060051+C901060052+C901060053+C901060054+C901060055+C901060056+C901060057+C901060070+C901060035+C901060036+C901060037+C901060038+C901060039+C901060040+C901060041+C901060042+C901060043+C901060044+C901060080+C901060091+C901060058+C901060059+C901060060+C901060061+C901060062+C901060063+C901060064+C901060065+C901060066+C901060067+C901060081+C901060092)</t>
  </si>
  <si>
    <t>1709710924346</t>
  </si>
  <si>
    <t>C901080015/(C901080015+C901080023)</t>
  </si>
  <si>
    <t>1709710927153</t>
  </si>
  <si>
    <t>(C901080083+C901080084)-C901080034</t>
  </si>
  <si>
    <t>C901080034</t>
  </si>
  <si>
    <t>Cell down time due to manual block(s)</t>
  </si>
  <si>
    <t>C901080084</t>
  </si>
  <si>
    <t>Cell down time due to site fault(s)</t>
  </si>
  <si>
    <t>C901080083</t>
  </si>
  <si>
    <t>Cell down time due to link break(s)</t>
  </si>
  <si>
    <t>C900060130</t>
  </si>
  <si>
    <t>1709710924296</t>
  </si>
  <si>
    <t>((C901030006+C901030019+C901030032)*176+(C901030007+C901030020+C901030033)*224+(C901030008+C901030021+C901030034)*296+(C901030009+C901030022+C901030035)*352+(C901030010+C901030023+C901030036)*448+(C901030011+C901030024+C901030037)*592+(C901030012+C901030025+C901030038)*448+(C901030013+C901030026+C901030039)*544+(C901030014+C901030027+C901030040)*592)/(C901030006+C901030019+C901030032+C901030007+C901030020+C901030033+C901030008+C901030021+C901030034+C901030009+C901030022+C901030035+C901030010+C901030023+C901030036+C901030011+C901030024+C901030037+(C901030012+C901030025+C901030038+C901030013+C901030026+C901030039+C901030014+C901030027+C901030040)/2)/20</t>
  </si>
  <si>
    <t>Column Labels</t>
  </si>
  <si>
    <t>Row Labels</t>
  </si>
  <si>
    <t>Sum of ORA_2G_CS_TRAFFIC</t>
  </si>
  <si>
    <t>Average of ORA_2G_CSSR_CS_New(%)</t>
  </si>
  <si>
    <t>Average of ORA_2G_Call_Drop_CS_New(%)</t>
  </si>
  <si>
    <t>Average of ORA_2G_TCH_Blocking_Rate_New(%)</t>
  </si>
  <si>
    <t>Average of ORA_2G_SDCCH_Blocking_New(%)</t>
  </si>
  <si>
    <t>ORA_2G_TCH Availability(%)</t>
  </si>
  <si>
    <t>Average of ORA_2G_TCH Availability(%)</t>
  </si>
  <si>
    <t>22</t>
  </si>
  <si>
    <t>BSC_ZTE_Madagascar(22)</t>
  </si>
  <si>
    <t>2025-12-18 10:00:00</t>
  </si>
  <si>
    <t>2025-12-18 11:00:00</t>
  </si>
  <si>
    <t>11287</t>
  </si>
  <si>
    <t>LIT_287_Z_New-Deido</t>
  </si>
  <si>
    <t>11405</t>
  </si>
  <si>
    <t>LIT_405_Z_Bepanda-Omnisport</t>
  </si>
  <si>
    <t>11651</t>
  </si>
  <si>
    <t>LIT_651_Z_DEIDO-MARCHE</t>
  </si>
  <si>
    <t>61102</t>
  </si>
  <si>
    <t>LIT_102_Z_Omnisport</t>
  </si>
  <si>
    <t>2025-12-18 12:00:00</t>
  </si>
  <si>
    <t>2025-12-18 13:00:00</t>
  </si>
  <si>
    <t>2025-12-18 14:00:00</t>
  </si>
  <si>
    <t>2025-12-18 15:00:00</t>
  </si>
  <si>
    <t>2025-12-18 16:00:00</t>
  </si>
  <si>
    <t>2025-12-18 17:00:00</t>
  </si>
  <si>
    <t>2025-12-18 18:00:00</t>
  </si>
  <si>
    <t>2025-12-18 19:00:00</t>
  </si>
  <si>
    <t>2025-12-18 20:00:00</t>
  </si>
  <si>
    <t>2025-12-18 21:00:00</t>
  </si>
  <si>
    <t>2025-12-18 22:00:00</t>
  </si>
  <si>
    <t>2025-12-18 23:00:00</t>
  </si>
  <si>
    <t>2025-12-19 00:00:00</t>
  </si>
  <si>
    <t>2025-12-19 01:00:00</t>
  </si>
  <si>
    <t>2025-12-19 02:00:00</t>
  </si>
  <si>
    <t>2025-12-19 03:00:00</t>
  </si>
  <si>
    <t>2025-12-19 04:00:00</t>
  </si>
  <si>
    <t>2025-12-19 05:00:00</t>
  </si>
  <si>
    <t>2025-12-19 06:00:00</t>
  </si>
  <si>
    <t>2025-12-19 07:00:00</t>
  </si>
  <si>
    <t>2025-12-19 08:00:00</t>
  </si>
  <si>
    <t>2025-12-19 09:00:00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</si>
</sst>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##0%"/>
    <numFmt numFmtId="165" formatCode="###0"/>
    <numFmt numFmtId="166" formatCode="#,##0%"/>
    <numFmt numFmtId="167" formatCode="###0.##"/>
    <numFmt numFmtId="168" formatCode="#,##0.##"/>
    <numFmt numFmtId="169" formatCode="#,##0.##%"/>
    <numFmt numFmtId="170" formatCode="###0.##%"/>
  </numFmts>
  <fonts count="4" x14ac:knownFonts="1"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8FD5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2" borderId="0" xfId="0" applyFill="1"/>
    <xf numFmtId="164" fontId="0" fillId="0" borderId="0" xfId="0" applyNumberFormat="1" applyAlignment="1">
      <alignment horizontal="right" vertical="center"/>
    </xf>
    <xf numFmtId="165" fontId="0" fillId="0" borderId="0" xfId="0" applyNumberFormat="1" applyAlignment="1">
      <alignment horizontal="right" vertical="center"/>
    </xf>
    <xf numFmtId="166" fontId="0" fillId="0" borderId="0" xfId="0" applyNumberFormat="1" applyAlignment="1">
      <alignment horizontal="right" vertical="center"/>
    </xf>
    <xf numFmtId="3" fontId="0" fillId="0" borderId="0" xfId="0" applyNumberFormat="1" applyAlignment="1">
      <alignment horizontal="right" vertical="center"/>
    </xf>
    <xf numFmtId="167" fontId="0" fillId="0" borderId="0" xfId="0" applyNumberFormat="1" applyAlignment="1">
      <alignment horizontal="right" vertical="center"/>
    </xf>
    <xf numFmtId="168" fontId="0" fillId="0" borderId="0" xfId="0" applyNumberFormat="1" applyAlignment="1">
      <alignment horizontal="right" vertical="center"/>
    </xf>
    <xf numFmtId="169" fontId="0" fillId="0" borderId="0" xfId="0" applyNumberFormat="1" applyAlignment="1">
      <alignment horizontal="right" vertical="center"/>
    </xf>
    <xf numFmtId="170" fontId="0" fillId="0" borderId="0" xfId="0" applyNumberFormat="1" applyAlignment="1">
      <alignment horizontal="right" vertical="center"/>
    </xf>
    <xf numFmtId="0" fontId="0" fillId="2" borderId="0" xfId="0" applyFill="1"/>
    <xf numFmtId="0" fontId="0" fillId="0" borderId="0" xfId="0" applyAlignment="1">
      <alignment wrapText="1"/>
    </xf>
    <xf numFmtId="0" fontId="0" fillId="0" borderId="0" xfId="0" pivotButton="1"/>
    <xf numFmtId="0" fontId="1" fillId="3" borderId="1" xfId="0" applyFont="1" applyFill="1" applyBorder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1" fillId="0" borderId="1" xfId="0" applyFont="1" applyBorder="1" applyAlignment="1">
      <alignment horizontal="left"/>
    </xf>
    <xf numFmtId="0" fontId="1" fillId="0" borderId="1" xfId="0" applyNumberFormat="1" applyFont="1" applyBorder="1"/>
    <xf numFmtId="2" fontId="2" fillId="0" borderId="2" xfId="0" applyNumberFormat="1" applyFon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3" fillId="0" borderId="0" xfId="0" applyFont="1"/>
    <xf numFmtId="164" fontId="3" fillId="0" borderId="0" xfId="0" applyNumberFormat="1" applyFont="1" applyAlignment="1">
      <alignment horizontal="right" vertical="center"/>
    </xf>
    <xf numFmtId="167" fontId="3" fillId="0" borderId="0" xfId="0" applyNumberFormat="1" applyFont="1" applyAlignment="1">
      <alignment horizontal="right" vertical="center"/>
    </xf>
    <xf numFmtId="168" fontId="3" fillId="0" borderId="0" xfId="0" applyNumberFormat="1" applyFont="1" applyAlignment="1">
      <alignment horizontal="right" vertical="center"/>
    </xf>
    <xf numFmtId="169" fontId="3" fillId="0" borderId="0" xfId="0" applyNumberFormat="1" applyFont="1" applyAlignment="1">
      <alignment horizontal="right" vertical="center"/>
    </xf>
    <xf numFmtId="3" fontId="3" fillId="0" borderId="0" xfId="0" applyNumberFormat="1" applyFont="1" applyAlignment="1">
      <alignment horizontal="right" vertical="center"/>
    </xf>
    <xf numFmtId="166" fontId="3" fillId="0" borderId="0" xfId="0" applyNumberFormat="1" applyFont="1" applyAlignment="1">
      <alignment horizontal="right" vertical="center"/>
    </xf>
    <xf numFmtId="170" fontId="3" fillId="0" borderId="0" xfId="0" applyNumberFormat="1" applyFont="1" applyAlignment="1">
      <alignment horizontal="right" vertical="center"/>
    </xf>
    <xf numFmtId="165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4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gamo Guipdop Chabain Migouel" refreshedDate="46010.421939467589" createdVersion="7" refreshedVersion="7" minRefreshableVersion="3" recordCount="275" xr:uid="{983F8D66-B508-4A27-A3F2-FAB7DD2A5D5E}">
  <cacheSource type="worksheet">
    <worksheetSource ref="A1:AQ276" sheet="Sheet0"/>
  </cacheSource>
  <cacheFields count="43">
    <cacheField name="Begin Time" numFmtId="0">
      <sharedItems containsBlank="1" count="79">
        <s v="2025-12-18 10:00:00"/>
        <s v="2025-12-18 11:00:00"/>
        <s v="2025-12-18 12:00:00"/>
        <s v="2025-12-18 13:00:00"/>
        <s v="2025-12-18 14:00:00"/>
        <s v="2025-12-18 15:00:00"/>
        <s v="2025-12-18 16:00:00"/>
        <s v="2025-12-18 17:00:00"/>
        <s v="2025-12-18 18:00:00"/>
        <s v="2025-12-18 19:00:00"/>
        <s v="2025-12-18 20:00:00"/>
        <s v="2025-12-18 21:00:00"/>
        <s v="2025-12-18 22:00:00"/>
        <s v="2025-12-18 23:00:00"/>
        <s v="2025-12-19 00:00:00"/>
        <s v="2025-12-19 01:00:00"/>
        <s v="2025-12-19 02:00:00"/>
        <s v="2025-12-19 03:00:00"/>
        <s v="2025-12-19 04:00:00"/>
        <s v="2025-12-19 05:00:00"/>
        <s v="2025-12-19 06:00:00"/>
        <s v="2025-12-19 07:00:00"/>
        <s v="2025-12-19 08:00:00"/>
        <m/>
        <s v="2025-12-15 14:00:00" u="1"/>
        <s v="2025-12-16 14:00:00" u="1"/>
        <s v="2025-12-17 14:00:00" u="1"/>
        <s v="2025-12-15 13:00:00" u="1"/>
        <s v="2025-12-16 13:00:00" u="1"/>
        <s v="2025-12-17 13:00:00" u="1"/>
        <s v="2025-12-15 12:00:00" u="1"/>
        <s v="2025-12-16 12:00:00" u="1"/>
        <s v="2025-12-17 12:00:00" u="1"/>
        <s v="2025-12-15 11:00:00" u="1"/>
        <s v="2025-12-16 11:00:00" u="1"/>
        <s v="2025-12-17 11:00:00" u="1"/>
        <s v="2025-12-15 09:00:00" u="1"/>
        <s v="2025-12-16 09:00:00" u="1"/>
        <s v="2025-12-17 09:00:00" u="1"/>
        <s v="2025-12-15 10:00:00" u="1"/>
        <s v="2025-12-16 10:00:00" u="1"/>
        <s v="2025-12-17 10:00:00" u="1"/>
        <s v="2025-12-15 08:00:00" u="1"/>
        <s v="2025-12-16 08:00:00" u="1"/>
        <s v="2025-12-17 08:00:00" u="1"/>
        <s v="2025-12-16 07:00:00" u="1"/>
        <s v="2025-12-17 07:00:00" u="1"/>
        <s v="2025-12-16 06:00:00" u="1"/>
        <s v="2025-12-17 06:00:00" u="1"/>
        <s v="2025-12-16 05:00:00" u="1"/>
        <s v="2025-12-17 05:00:00" u="1"/>
        <s v="2025-12-16 04:00:00" u="1"/>
        <s v="2025-12-17 04:00:00" u="1"/>
        <s v="2025-12-16 03:00:00" u="1"/>
        <s v="2025-12-17 03:00:00" u="1"/>
        <s v="2025-12-16 02:00:00" u="1"/>
        <s v="2025-12-17 02:00:00" u="1"/>
        <s v="2025-12-16 01:00:00" u="1"/>
        <s v="2025-12-17 01:00:00" u="1"/>
        <s v="2025-12-16 00:00:00" u="1"/>
        <s v="2025-12-17 00:00:00" u="1"/>
        <s v="2025-12-15 23:00:00" u="1"/>
        <s v="2025-12-16 23:00:00" u="1"/>
        <s v="2025-12-15 22:00:00" u="1"/>
        <s v="2025-12-16 22:00:00" u="1"/>
        <s v="2025-12-15 21:00:00" u="1"/>
        <s v="2025-12-16 21:00:00" u="1"/>
        <s v="2025-12-15 19:00:00" u="1"/>
        <s v="2025-12-16 19:00:00" u="1"/>
        <s v="2025-12-15 20:00:00" u="1"/>
        <s v="2025-12-16 20:00:00" u="1"/>
        <s v="2025-12-15 18:00:00" u="1"/>
        <s v="2025-12-16 18:00:00" u="1"/>
        <s v="2025-12-15 17:00:00" u="1"/>
        <s v="2025-12-16 17:00:00" u="1"/>
        <s v="2025-12-15 16:00:00" u="1"/>
        <s v="2025-12-16 16:00:00" u="1"/>
        <s v="2025-12-15 15:00:00" u="1"/>
        <s v="2025-12-16 15:00:00" u="1"/>
      </sharedItems>
    </cacheField>
    <cacheField name="End Time" numFmtId="0">
      <sharedItems containsBlank="1"/>
    </cacheField>
    <cacheField name="Granularity" numFmtId="0">
      <sharedItems containsBlank="1"/>
    </cacheField>
    <cacheField name="SubnetWork ID" numFmtId="0">
      <sharedItems containsBlank="1"/>
    </cacheField>
    <cacheField name="SubnetWork Name" numFmtId="0">
      <sharedItems containsBlank="1"/>
    </cacheField>
    <cacheField name="ManagedElement ID" numFmtId="0">
      <sharedItems containsBlank="1"/>
    </cacheField>
    <cacheField name="Managed Element" numFmtId="0">
      <sharedItems containsBlank="1"/>
    </cacheField>
    <cacheField name="SITE ID" numFmtId="0">
      <sharedItems containsBlank="1"/>
    </cacheField>
    <cacheField name="SITE Name" numFmtId="0">
      <sharedItems containsBlank="1" count="10">
        <s v="LIT_287_Z_New-Deido"/>
        <s v="LIT_405_Z_Bepanda-Omnisport"/>
        <s v="LIT_651_Z_DEIDO-MARCHE"/>
        <s v="LIT_102_Z_Omnisport"/>
        <m/>
        <s v="LIT_025_Z_Tsekenis" u="1"/>
        <s v="LIT_139_Z_Camship" u="1"/>
        <s v="LIT_087_Z_Wouri" u="1"/>
        <s v="LIT_413_Z_Bali-Koumassi" u="1"/>
        <s v="LIT_041_Z_La-Falaise" u="1"/>
      </sharedItems>
    </cacheField>
    <cacheField name="ORA_2G_TCH Availability Normal TRXs" numFmtId="0">
      <sharedItems containsString="0" containsBlank="1" containsNumber="1" minValue="0.8" maxValue="1"/>
    </cacheField>
    <cacheField name="ORA_2G_CS_TRAFFIC" numFmtId="0">
      <sharedItems containsString="0" containsBlank="1" containsNumber="1" minValue="0.05" maxValue="22.75"/>
    </cacheField>
    <cacheField name="ORA_2G_Traffic_Data_Mbytes" numFmtId="0">
      <sharedItems containsString="0" containsBlank="1" containsNumber="1" minValue="2.44" maxValue="208.35"/>
    </cacheField>
    <cacheField name="ORA_2G_CSSR_CS_New(%)" numFmtId="0">
      <sharedItems containsString="0" containsBlank="1" containsNumber="1" minValue="95.09" maxValue="100.27"/>
    </cacheField>
    <cacheField name="ORA_2G_CSSR_Data_New(%)" numFmtId="0">
      <sharedItems containsString="0" containsBlank="1" containsNumber="1" minValue="0.95320000000000005" maxValue="0.99619999999999997"/>
    </cacheField>
    <cacheField name="ORA_2G_Call_Drop_CS_New(%)" numFmtId="0">
      <sharedItems containsString="0" containsBlank="1" containsNumber="1" minValue="0" maxValue="33.33"/>
    </cacheField>
    <cacheField name="ORA_2G_SDCCH_Drop_Rate_New(%)" numFmtId="0">
      <sharedItems containsString="0" containsBlank="1" containsNumber="1" minValue="0" maxValue="0.19"/>
    </cacheField>
    <cacheField name="ORA_2G_TBF Drop rate" numFmtId="0">
      <sharedItems containsString="0" containsBlank="1" containsNumber="1" minValue="1.6000000000000001E-3" maxValue="2.8199999999999999E-2"/>
    </cacheField>
    <cacheField name="TCH dropped call total number" numFmtId="3">
      <sharedItems containsString="0" containsBlank="1" containsNumber="1" containsInteger="1" minValue="0" maxValue="8"/>
    </cacheField>
    <cacheField name="Number of SDCCH drops" numFmtId="3">
      <sharedItems containsString="0" containsBlank="1" containsNumber="1" containsInteger="1" minValue="0" maxValue="8"/>
    </cacheField>
    <cacheField name="ORA_2G_TCH_Blocking_Rate_New(%)" numFmtId="0">
      <sharedItems containsString="0" containsBlank="1" containsNumber="1" containsInteger="1" minValue="0" maxValue="0"/>
    </cacheField>
    <cacheField name="ORA_2G_SDCCH_Blocking_New(%)" numFmtId="0">
      <sharedItems containsString="0" containsBlank="1" containsNumber="1" minValue="0" maxValue="0.28000000000000003"/>
    </cacheField>
    <cacheField name="Number of call drops due to radio link failure" numFmtId="3">
      <sharedItems containsString="0" containsBlank="1" containsNumber="1" containsInteger="1" minValue="0" maxValue="5"/>
    </cacheField>
    <cacheField name="Number of call drops due to handover failure" numFmtId="3">
      <sharedItems containsString="0" containsBlank="1" containsNumber="1" containsInteger="1" minValue="0" maxValue="3"/>
    </cacheField>
    <cacheField name="Number of call drops due to LAPD link failure" numFmtId="3">
      <sharedItems containsString="0" containsBlank="1" containsNumber="1" containsInteger="1" minValue="0" maxValue="5"/>
    </cacheField>
    <cacheField name="Number of call drops due to TCH wireless link failure" numFmtId="3">
      <sharedItems containsString="0" containsBlank="1" containsNumber="1" containsInteger="1" minValue="0" maxValue="5"/>
    </cacheField>
    <cacheField name="ABIS Downlink packet drop (%)" numFmtId="0">
      <sharedItems containsString="0" containsBlank="1" containsNumber="1" minValue="5.9999999999999995E-4" maxValue="8.0999999999999996E-3"/>
    </cacheField>
    <cacheField name="OCM_2G_TCH_Normal_Assignment_SR(%)" numFmtId="0">
      <sharedItems containsString="0" containsBlank="1" containsNumber="1" minValue="95.12" maxValue="100.27"/>
    </cacheField>
    <cacheField name="Number of voice TCH/F assignment success" numFmtId="3">
      <sharedItems containsString="0" containsBlank="1" containsNumber="1" containsInteger="1" minValue="1" maxValue="67"/>
    </cacheField>
    <cacheField name="TCH attempt total number(exclude handover)" numFmtId="3">
      <sharedItems containsString="0" containsBlank="1" containsNumber="1" containsInteger="1" minValue="2" maxValue="1090"/>
    </cacheField>
    <cacheField name="Number of SDCCH assignment attempts" numFmtId="3">
      <sharedItems containsString="0" containsBlank="1" containsNumber="1" containsInteger="1" minValue="744" maxValue="8553"/>
    </cacheField>
    <cacheField name="Number of sample with interference band" numFmtId="3">
      <sharedItems containsString="0" containsBlank="1" containsNumber="1" containsInteger="1" minValue="253" maxValue="740"/>
    </cacheField>
    <cacheField name="TCH_ESTAB_FAILURE_RATE" numFmtId="166">
      <sharedItems containsString="0" containsBlank="1" containsNumber="1" containsInteger="1" minValue="0" maxValue="0"/>
    </cacheField>
    <cacheField name="ORA_2G_Handover_SR_New" numFmtId="0">
      <sharedItems containsString="0" containsBlank="1" containsNumber="1" minValue="88.89" maxValue="100"/>
    </cacheField>
    <cacheField name="handover failure ratio" numFmtId="0">
      <sharedItems containsString="0" containsBlank="1" containsNumber="1" minValue="0" maxValue="1"/>
    </cacheField>
    <cacheField name="Number of HO drops due to Long Distance between MS and Network" numFmtId="3">
      <sharedItems containsString="0" containsBlank="1" containsNumber="1" containsInteger="1" minValue="0" maxValue="0"/>
    </cacheField>
    <cacheField name="ORA_2G_DL_Cumulative_RxQual_Class5_New(%)" numFmtId="0">
      <sharedItems containsString="0" containsBlank="1" containsNumber="1" minValue="92.3" maxValue="100"/>
    </cacheField>
    <cacheField name="ORA_2G_HO_ratio_DL_Quality" numFmtId="0">
      <sharedItems containsString="0" containsBlank="1" containsNumber="1" minValue="0" maxValue="0.4"/>
    </cacheField>
    <cacheField name="ORA_2G_HO_ratio_UL_Quality" numFmtId="0">
      <sharedItems containsString="0" containsBlank="1" containsNumber="1" minValue="0" maxValue="0.16669999999999999"/>
    </cacheField>
    <cacheField name="ORA_2G_HR_ratio" numFmtId="0">
      <sharedItems containsString="0" containsBlank="1" containsNumber="1" minValue="0" maxValue="0.9708"/>
    </cacheField>
    <cacheField name="2G_Downtime_Combine(en s)" numFmtId="3">
      <sharedItems containsString="0" containsBlank="1" containsNumber="1" containsInteger="1" minValue="0" maxValue="2337"/>
    </cacheField>
    <cacheField name="Number of healthy TRXs" numFmtId="3">
      <sharedItems containsString="0" containsBlank="1" containsNumber="1" containsInteger="1" minValue="7" maxValue="9"/>
    </cacheField>
    <cacheField name="ORA_2G_EGPRS_DL_Throughput(kbit/s)" numFmtId="167">
      <sharedItems containsString="0" containsBlank="1" containsNumber="1" minValue="29.79" maxValue="51.07"/>
    </cacheField>
    <cacheField name="ORA_2G_TCH Availability(%)" numFmtId="0">
      <sharedItems containsString="0" containsBlank="1" containsNumber="1" minValue="80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5">
  <r>
    <x v="0"/>
    <s v="2025-12-18 11:00:00"/>
    <s v="1 hour"/>
    <s v="22"/>
    <s v="BSC_ZTE_Madagascar(22)"/>
    <s v="22"/>
    <s v="BSC_ZTE_Madagascar(22)"/>
    <s v="11287"/>
    <x v="0"/>
    <n v="1"/>
    <n v="17.399999999999999"/>
    <n v="97.29"/>
    <n v="99.9"/>
    <n v="0.97340000000000004"/>
    <n v="0"/>
    <n v="0"/>
    <n v="1.29E-2"/>
    <n v="0"/>
    <n v="0"/>
    <n v="0"/>
    <n v="0"/>
    <n v="0"/>
    <n v="0"/>
    <n v="0"/>
    <n v="0"/>
    <n v="2.5999999999999999E-3"/>
    <n v="99.9"/>
    <n v="4"/>
    <n v="974"/>
    <n v="5297"/>
    <n v="734"/>
    <n v="0"/>
    <n v="98.14"/>
    <m/>
    <n v="0"/>
    <n v="96.51"/>
    <n v="7.4800000000000005E-2"/>
    <n v="2.58E-2"/>
    <n v="0.96330000000000005"/>
    <n v="0"/>
    <n v="9"/>
    <n v="38.28"/>
    <n v="100"/>
  </r>
  <r>
    <x v="0"/>
    <s v="2025-12-18 11:00:00"/>
    <s v="1 hour"/>
    <s v="22"/>
    <s v="BSC_ZTE_Madagascar(22)"/>
    <s v="22"/>
    <s v="BSC_ZTE_Madagascar(22)"/>
    <s v="11405"/>
    <x v="1"/>
    <n v="1"/>
    <n v="12.41"/>
    <n v="109.41"/>
    <n v="98.96"/>
    <n v="0.96740000000000004"/>
    <n v="0.46"/>
    <n v="0"/>
    <n v="1.2699999999999999E-2"/>
    <n v="5"/>
    <n v="0"/>
    <n v="0"/>
    <n v="0"/>
    <n v="5"/>
    <n v="0"/>
    <n v="0"/>
    <n v="5"/>
    <n v="2.5999999999999999E-3"/>
    <n v="98.96"/>
    <n v="39"/>
    <n v="671"/>
    <n v="5305"/>
    <n v="658"/>
    <n v="0"/>
    <n v="95.52"/>
    <n v="0"/>
    <n v="0"/>
    <n v="95.28"/>
    <n v="0.2291"/>
    <n v="2.7799999999999998E-2"/>
    <n v="0.95779999999999998"/>
    <n v="0"/>
    <n v="8"/>
    <n v="33.17"/>
    <n v="100"/>
  </r>
  <r>
    <x v="0"/>
    <s v="2025-12-18 11:00:00"/>
    <s v="1 hour"/>
    <s v="22"/>
    <s v="BSC_ZTE_Madagascar(22)"/>
    <s v="22"/>
    <s v="BSC_ZTE_Madagascar(22)"/>
    <s v="11651"/>
    <x v="2"/>
    <n v="1"/>
    <n v="11.91"/>
    <n v="31.84"/>
    <n v="99.97"/>
    <n v="0.9788"/>
    <n v="0"/>
    <n v="0.03"/>
    <n v="9.4000000000000004E-3"/>
    <n v="1"/>
    <n v="1"/>
    <n v="0"/>
    <n v="0"/>
    <n v="0"/>
    <n v="1"/>
    <n v="0"/>
    <n v="0"/>
    <n v="2.0999999999999999E-3"/>
    <n v="100"/>
    <n v="16"/>
    <n v="624"/>
    <n v="3956"/>
    <n v="737"/>
    <n v="0"/>
    <n v="97.45"/>
    <n v="1"/>
    <n v="0"/>
    <n v="97.24"/>
    <n v="0.1066"/>
    <n v="3.7699999999999997E-2"/>
    <n v="0.96179999999999999"/>
    <n v="0"/>
    <n v="9"/>
    <n v="34.47"/>
    <n v="100"/>
  </r>
  <r>
    <x v="0"/>
    <s v="2025-12-18 11:00:00"/>
    <s v="1 hour"/>
    <s v="22"/>
    <s v="BSC_ZTE_Madagascar(22)"/>
    <s v="22"/>
    <s v="BSC_ZTE_Madagascar(22)"/>
    <s v="61102"/>
    <x v="3"/>
    <n v="1"/>
    <n v="6.02"/>
    <n v="26.45"/>
    <n v="99.7"/>
    <n v="0.97150000000000003"/>
    <n v="0"/>
    <n v="0.03"/>
    <n v="7.7999999999999996E-3"/>
    <n v="0"/>
    <n v="1"/>
    <n v="0"/>
    <n v="0"/>
    <n v="0"/>
    <n v="0"/>
    <n v="0"/>
    <n v="0"/>
    <n v="2.8999999999999998E-3"/>
    <n v="99.72"/>
    <n v="55"/>
    <n v="363"/>
    <n v="3881"/>
    <n v="663"/>
    <n v="0"/>
    <n v="97.58"/>
    <m/>
    <n v="0"/>
    <n v="94.62"/>
    <n v="0.1661"/>
    <n v="7.1999999999999998E-3"/>
    <n v="0.82269999999999999"/>
    <n v="0"/>
    <n v="8"/>
    <n v="32.14"/>
    <n v="100"/>
  </r>
  <r>
    <x v="1"/>
    <s v="2025-12-18 12:00:00"/>
    <s v="1 hour"/>
    <s v="22"/>
    <s v="BSC_ZTE_Madagascar(22)"/>
    <s v="22"/>
    <s v="BSC_ZTE_Madagascar(22)"/>
    <s v="11287"/>
    <x v="0"/>
    <n v="1"/>
    <n v="19.739999999999998"/>
    <n v="126.48"/>
    <n v="99.56"/>
    <n v="0.97919999999999996"/>
    <n v="0.28999999999999998"/>
    <n v="0.04"/>
    <n v="1.09E-2"/>
    <n v="4"/>
    <n v="2"/>
    <n v="0"/>
    <n v="0"/>
    <n v="2"/>
    <n v="2"/>
    <n v="0"/>
    <n v="2"/>
    <n v="2.3999999999999998E-3"/>
    <n v="99.6"/>
    <n v="5"/>
    <n v="1003"/>
    <n v="5387"/>
    <n v="735"/>
    <n v="0"/>
    <n v="98.2"/>
    <n v="0.5"/>
    <n v="0"/>
    <n v="96.93"/>
    <n v="7.8100000000000003E-2"/>
    <n v="2.24E-2"/>
    <n v="0.95189999999999997"/>
    <n v="0"/>
    <n v="9"/>
    <n v="39.799999999999997"/>
    <n v="100"/>
  </r>
  <r>
    <x v="1"/>
    <s v="2025-12-18 12:00:00"/>
    <s v="1 hour"/>
    <s v="22"/>
    <s v="BSC_ZTE_Madagascar(22)"/>
    <s v="22"/>
    <s v="BSC_ZTE_Madagascar(22)"/>
    <s v="11405"/>
    <x v="1"/>
    <n v="1"/>
    <n v="11.14"/>
    <n v="86.75"/>
    <n v="99.52"/>
    <n v="0.96450000000000002"/>
    <n v="0.31"/>
    <n v="0"/>
    <n v="1.9900000000000001E-2"/>
    <n v="3"/>
    <n v="0"/>
    <n v="0"/>
    <n v="0"/>
    <n v="3"/>
    <n v="0"/>
    <n v="0"/>
    <n v="3"/>
    <n v="2.7000000000000001E-3"/>
    <n v="99.52"/>
    <n v="28"/>
    <n v="619"/>
    <n v="5496"/>
    <n v="655"/>
    <n v="0"/>
    <n v="94.88"/>
    <n v="0"/>
    <n v="0"/>
    <n v="94.02"/>
    <n v="0.21149999999999999"/>
    <n v="2.3599999999999999E-2"/>
    <n v="0.93459999999999999"/>
    <n v="0"/>
    <n v="8"/>
    <n v="33.19"/>
    <n v="100"/>
  </r>
  <r>
    <x v="1"/>
    <s v="2025-12-18 12:00:00"/>
    <s v="1 hour"/>
    <s v="22"/>
    <s v="BSC_ZTE_Madagascar(22)"/>
    <s v="22"/>
    <s v="BSC_ZTE_Madagascar(22)"/>
    <s v="11651"/>
    <x v="2"/>
    <n v="1"/>
    <n v="12.38"/>
    <n v="63.65"/>
    <n v="99.33"/>
    <n v="0.97899999999999998"/>
    <n v="0.41"/>
    <n v="0.1"/>
    <n v="1.14E-2"/>
    <n v="4"/>
    <n v="4"/>
    <n v="0"/>
    <n v="0"/>
    <n v="4"/>
    <n v="0"/>
    <n v="0"/>
    <n v="4"/>
    <n v="2.8999999999999998E-3"/>
    <n v="99.43"/>
    <n v="9"/>
    <n v="701"/>
    <n v="4372"/>
    <n v="732"/>
    <n v="0"/>
    <n v="96.49"/>
    <n v="0"/>
    <n v="0"/>
    <n v="97.24"/>
    <n v="0.11219999999999999"/>
    <n v="3.9600000000000003E-2"/>
    <n v="0.94189999999999996"/>
    <n v="0"/>
    <n v="9"/>
    <n v="40.369999999999997"/>
    <n v="100"/>
  </r>
  <r>
    <x v="1"/>
    <s v="2025-12-18 12:00:00"/>
    <s v="1 hour"/>
    <s v="22"/>
    <s v="BSC_ZTE_Madagascar(22)"/>
    <s v="22"/>
    <s v="BSC_ZTE_Madagascar(22)"/>
    <s v="61102"/>
    <x v="3"/>
    <n v="1"/>
    <n v="6.06"/>
    <n v="30.89"/>
    <n v="98.83"/>
    <n v="0.96350000000000002"/>
    <n v="0"/>
    <n v="0"/>
    <n v="1.04E-2"/>
    <n v="0"/>
    <n v="0"/>
    <n v="0"/>
    <n v="0"/>
    <n v="0"/>
    <n v="0"/>
    <n v="0"/>
    <n v="0"/>
    <n v="3.3999999999999998E-3"/>
    <n v="98.83"/>
    <n v="43"/>
    <n v="343"/>
    <n v="4142"/>
    <n v="658"/>
    <n v="0"/>
    <n v="97.16"/>
    <m/>
    <n v="0"/>
    <n v="94.56"/>
    <n v="0.14580000000000001"/>
    <n v="1.41E-2"/>
    <n v="0.86950000000000005"/>
    <n v="0"/>
    <n v="8"/>
    <n v="31.89"/>
    <n v="100"/>
  </r>
  <r>
    <x v="2"/>
    <s v="2025-12-18 13:00:00"/>
    <s v="1 hour"/>
    <s v="22"/>
    <s v="BSC_ZTE_Madagascar(22)"/>
    <s v="22"/>
    <s v="BSC_ZTE_Madagascar(22)"/>
    <s v="11287"/>
    <x v="0"/>
    <n v="1"/>
    <n v="17.22"/>
    <n v="148.44999999999999"/>
    <n v="99.8"/>
    <n v="0.97919999999999996"/>
    <n v="0.44"/>
    <n v="0.02"/>
    <n v="1.2699999999999999E-2"/>
    <n v="5"/>
    <n v="1"/>
    <n v="0"/>
    <n v="0"/>
    <n v="5"/>
    <n v="0"/>
    <n v="0"/>
    <n v="5"/>
    <n v="3.0000000000000001E-3"/>
    <n v="99.82"/>
    <n v="10"/>
    <n v="1084"/>
    <n v="5410"/>
    <n v="738"/>
    <n v="0"/>
    <n v="98.93"/>
    <n v="0"/>
    <n v="0"/>
    <n v="96.56"/>
    <n v="6.3799999999999996E-2"/>
    <n v="2.2700000000000001E-2"/>
    <n v="0.9708"/>
    <n v="0"/>
    <n v="9"/>
    <n v="39.46"/>
    <n v="100"/>
  </r>
  <r>
    <x v="2"/>
    <s v="2025-12-18 13:00:00"/>
    <s v="1 hour"/>
    <s v="22"/>
    <s v="BSC_ZTE_Madagascar(22)"/>
    <s v="22"/>
    <s v="BSC_ZTE_Madagascar(22)"/>
    <s v="11405"/>
    <x v="1"/>
    <n v="1"/>
    <n v="10.19"/>
    <n v="76.209999999999994"/>
    <n v="99.32"/>
    <n v="0.96689999999999998"/>
    <n v="0.17"/>
    <n v="0.02"/>
    <n v="1.24E-2"/>
    <n v="2"/>
    <n v="1"/>
    <n v="0"/>
    <n v="0"/>
    <n v="1"/>
    <n v="1"/>
    <n v="0"/>
    <n v="1"/>
    <n v="3.0999999999999999E-3"/>
    <n v="99.34"/>
    <n v="30"/>
    <n v="603"/>
    <n v="5100"/>
    <n v="656"/>
    <n v="0"/>
    <n v="93.86"/>
    <n v="0.5"/>
    <n v="0"/>
    <n v="94.89"/>
    <n v="0.20910000000000001"/>
    <n v="2.47E-2"/>
    <n v="0.93530000000000002"/>
    <n v="0"/>
    <n v="8"/>
    <n v="29.79"/>
    <n v="100"/>
  </r>
  <r>
    <x v="2"/>
    <s v="2025-12-18 13:00:00"/>
    <s v="1 hour"/>
    <s v="22"/>
    <s v="BSC_ZTE_Madagascar(22)"/>
    <s v="22"/>
    <s v="BSC_ZTE_Madagascar(22)"/>
    <s v="11651"/>
    <x v="2"/>
    <n v="1"/>
    <n v="12.19"/>
    <n v="45.99"/>
    <n v="99.36"/>
    <n v="0.97699999999999998"/>
    <n v="0.15"/>
    <n v="0.03"/>
    <n v="9.7000000000000003E-3"/>
    <n v="3"/>
    <n v="1"/>
    <n v="0"/>
    <n v="0"/>
    <n v="0"/>
    <n v="3"/>
    <n v="0"/>
    <n v="0"/>
    <n v="2.3999999999999998E-3"/>
    <n v="99.39"/>
    <n v="17"/>
    <n v="652"/>
    <n v="4056"/>
    <n v="738"/>
    <n v="0"/>
    <n v="96.42"/>
    <n v="1"/>
    <n v="0"/>
    <n v="96.39"/>
    <n v="0.11890000000000001"/>
    <n v="5.7099999999999998E-2"/>
    <n v="0.95189999999999997"/>
    <n v="0"/>
    <n v="9"/>
    <n v="37.29"/>
    <n v="100"/>
  </r>
  <r>
    <x v="2"/>
    <s v="2025-12-18 13:00:00"/>
    <s v="1 hour"/>
    <s v="22"/>
    <s v="BSC_ZTE_Madagascar(22)"/>
    <s v="22"/>
    <s v="BSC_ZTE_Madagascar(22)"/>
    <s v="61102"/>
    <x v="3"/>
    <n v="1"/>
    <n v="5.81"/>
    <n v="29.42"/>
    <n v="99.75"/>
    <n v="0.97130000000000005"/>
    <n v="0"/>
    <n v="0"/>
    <n v="8.2000000000000007E-3"/>
    <n v="0"/>
    <n v="0"/>
    <n v="0"/>
    <n v="0"/>
    <n v="0"/>
    <n v="0"/>
    <n v="0"/>
    <n v="0"/>
    <n v="3.8E-3"/>
    <n v="99.75"/>
    <n v="58"/>
    <n v="402"/>
    <n v="3917"/>
    <n v="662"/>
    <n v="0"/>
    <n v="97.34"/>
    <m/>
    <n v="0"/>
    <n v="93.99"/>
    <n v="0.20419999999999999"/>
    <n v="8.3000000000000001E-3"/>
    <n v="0.86850000000000005"/>
    <n v="0"/>
    <n v="8"/>
    <n v="31.56"/>
    <n v="100"/>
  </r>
  <r>
    <x v="3"/>
    <s v="2025-12-18 14:00:00"/>
    <s v="1 hour"/>
    <s v="22"/>
    <s v="BSC_ZTE_Madagascar(22)"/>
    <s v="22"/>
    <s v="BSC_ZTE_Madagascar(22)"/>
    <s v="11287"/>
    <x v="0"/>
    <n v="1"/>
    <n v="17.329999999999998"/>
    <n v="205"/>
    <n v="99.37"/>
    <n v="0.97589999999999999"/>
    <n v="0.28000000000000003"/>
    <n v="0.05"/>
    <n v="1.1900000000000001E-2"/>
    <n v="4"/>
    <n v="3"/>
    <n v="0"/>
    <n v="0"/>
    <n v="4"/>
    <n v="0"/>
    <n v="0"/>
    <n v="4"/>
    <n v="3.2000000000000002E-3"/>
    <n v="99.42"/>
    <n v="5"/>
    <n v="1042"/>
    <n v="6152"/>
    <n v="737"/>
    <n v="0"/>
    <n v="97.22"/>
    <n v="0"/>
    <n v="0"/>
    <n v="96.98"/>
    <n v="6.3100000000000003E-2"/>
    <n v="3.8800000000000001E-2"/>
    <n v="0.95879999999999999"/>
    <n v="0"/>
    <n v="9"/>
    <n v="42.45"/>
    <n v="100"/>
  </r>
  <r>
    <x v="3"/>
    <s v="2025-12-18 14:00:00"/>
    <s v="1 hour"/>
    <s v="22"/>
    <s v="BSC_ZTE_Madagascar(22)"/>
    <s v="22"/>
    <s v="BSC_ZTE_Madagascar(22)"/>
    <s v="11405"/>
    <x v="1"/>
    <n v="1"/>
    <n v="9.9499999999999993"/>
    <n v="75.709999999999994"/>
    <n v="99.49"/>
    <n v="0.95730000000000004"/>
    <n v="0"/>
    <n v="0.02"/>
    <n v="1.7500000000000002E-2"/>
    <n v="0"/>
    <n v="1"/>
    <n v="0"/>
    <n v="0"/>
    <n v="0"/>
    <n v="0"/>
    <n v="0"/>
    <n v="0"/>
    <n v="2.5000000000000001E-3"/>
    <n v="99.51"/>
    <n v="46"/>
    <n v="617"/>
    <n v="5561"/>
    <n v="649"/>
    <n v="0"/>
    <n v="97.04"/>
    <m/>
    <n v="0"/>
    <n v="95.63"/>
    <n v="0.21329999999999999"/>
    <n v="2.47E-2"/>
    <n v="0.94940000000000002"/>
    <n v="0"/>
    <n v="8"/>
    <n v="30.73"/>
    <n v="100"/>
  </r>
  <r>
    <x v="3"/>
    <s v="2025-12-18 14:00:00"/>
    <s v="1 hour"/>
    <s v="22"/>
    <s v="BSC_ZTE_Madagascar(22)"/>
    <s v="22"/>
    <s v="BSC_ZTE_Madagascar(22)"/>
    <s v="11651"/>
    <x v="2"/>
    <n v="0.8"/>
    <n v="9.41"/>
    <n v="64.31"/>
    <n v="99.79"/>
    <n v="0.97650000000000003"/>
    <n v="1.19"/>
    <n v="0.03"/>
    <n v="8.8000000000000005E-3"/>
    <n v="8"/>
    <n v="1"/>
    <n v="0"/>
    <n v="0"/>
    <n v="1"/>
    <n v="2"/>
    <n v="5"/>
    <n v="1"/>
    <n v="2.7000000000000001E-3"/>
    <n v="99.82"/>
    <n v="10"/>
    <n v="555"/>
    <n v="3875"/>
    <n v="566"/>
    <n v="0"/>
    <n v="95.54"/>
    <n v="0.25"/>
    <n v="0"/>
    <n v="97.53"/>
    <n v="9.0200000000000002E-2"/>
    <n v="5.2499999999999998E-2"/>
    <n v="0.95579999999999998"/>
    <n v="2337"/>
    <n v="7"/>
    <n v="39.14"/>
    <n v="80"/>
  </r>
  <r>
    <x v="3"/>
    <s v="2025-12-18 14:00:00"/>
    <s v="1 hour"/>
    <s v="22"/>
    <s v="BSC_ZTE_Madagascar(22)"/>
    <s v="22"/>
    <s v="BSC_ZTE_Madagascar(22)"/>
    <s v="61102"/>
    <x v="3"/>
    <n v="1"/>
    <n v="7.2"/>
    <n v="60.05"/>
    <n v="99.78"/>
    <n v="0.95320000000000005"/>
    <n v="0"/>
    <n v="0"/>
    <n v="1.5900000000000001E-2"/>
    <n v="3"/>
    <n v="0"/>
    <n v="0"/>
    <n v="0"/>
    <n v="2"/>
    <n v="1"/>
    <n v="0"/>
    <n v="2"/>
    <n v="4.4000000000000003E-3"/>
    <n v="99.78"/>
    <n v="39"/>
    <n v="459"/>
    <n v="6137"/>
    <n v="653"/>
    <n v="0"/>
    <n v="94.71"/>
    <n v="0.33329999999999999"/>
    <n v="0"/>
    <n v="93.01"/>
    <n v="0.1623"/>
    <n v="2.23E-2"/>
    <n v="0.8962"/>
    <n v="0"/>
    <n v="8"/>
    <n v="30.42"/>
    <n v="100"/>
  </r>
  <r>
    <x v="4"/>
    <s v="2025-12-18 15:00:00"/>
    <s v="1 hour"/>
    <s v="22"/>
    <s v="BSC_ZTE_Madagascar(22)"/>
    <s v="22"/>
    <s v="BSC_ZTE_Madagascar(22)"/>
    <s v="11287"/>
    <x v="0"/>
    <n v="1"/>
    <n v="16.97"/>
    <n v="145.57"/>
    <n v="99.53"/>
    <n v="0.97819999999999996"/>
    <n v="0.31"/>
    <n v="0.06"/>
    <n v="1.2999999999999999E-2"/>
    <n v="5"/>
    <n v="3"/>
    <n v="0"/>
    <n v="0"/>
    <n v="4"/>
    <n v="1"/>
    <n v="0"/>
    <n v="4"/>
    <n v="2.5000000000000001E-3"/>
    <n v="99.58"/>
    <n v="5"/>
    <n v="960"/>
    <n v="5609"/>
    <n v="736"/>
    <n v="0"/>
    <n v="98.61"/>
    <n v="0.2"/>
    <n v="0"/>
    <n v="97.48"/>
    <n v="7.1499999999999994E-2"/>
    <n v="3.39E-2"/>
    <n v="0.94599999999999995"/>
    <n v="0"/>
    <n v="9"/>
    <n v="40.06"/>
    <n v="100"/>
  </r>
  <r>
    <x v="4"/>
    <s v="2025-12-18 15:00:00"/>
    <s v="1 hour"/>
    <s v="22"/>
    <s v="BSC_ZTE_Madagascar(22)"/>
    <s v="22"/>
    <s v="BSC_ZTE_Madagascar(22)"/>
    <s v="11405"/>
    <x v="1"/>
    <n v="1"/>
    <n v="10.18"/>
    <n v="106.41"/>
    <n v="99.84"/>
    <n v="0.97289999999999999"/>
    <n v="0"/>
    <n v="0"/>
    <n v="1.7000000000000001E-2"/>
    <n v="0"/>
    <n v="0"/>
    <n v="0"/>
    <n v="0"/>
    <n v="0"/>
    <n v="0"/>
    <n v="0"/>
    <n v="0"/>
    <n v="3.0999999999999999E-3"/>
    <n v="99.84"/>
    <n v="55"/>
    <n v="611"/>
    <n v="5132"/>
    <n v="651"/>
    <n v="0"/>
    <n v="95.98"/>
    <m/>
    <n v="0"/>
    <n v="95.38"/>
    <n v="0.20219999999999999"/>
    <n v="3.1600000000000003E-2"/>
    <n v="0.91749999999999998"/>
    <n v="0"/>
    <n v="8"/>
    <n v="34.18"/>
    <n v="100"/>
  </r>
  <r>
    <x v="4"/>
    <s v="2025-12-18 15:00:00"/>
    <s v="1 hour"/>
    <s v="22"/>
    <s v="BSC_ZTE_Madagascar(22)"/>
    <s v="22"/>
    <s v="BSC_ZTE_Madagascar(22)"/>
    <s v="11651"/>
    <x v="2"/>
    <n v="0.94579999999999997"/>
    <n v="9.92"/>
    <n v="60.47"/>
    <n v="99.61"/>
    <n v="0.97840000000000005"/>
    <n v="1.1100000000000001"/>
    <n v="0.05"/>
    <n v="7.4000000000000003E-3"/>
    <n v="7"/>
    <n v="2"/>
    <n v="0"/>
    <n v="0"/>
    <n v="2"/>
    <n v="1"/>
    <n v="4"/>
    <n v="2"/>
    <n v="3.0000000000000001E-3"/>
    <n v="99.66"/>
    <n v="11"/>
    <n v="590"/>
    <n v="4163"/>
    <n v="670"/>
    <n v="0"/>
    <n v="96.1"/>
    <n v="0.1429"/>
    <n v="0"/>
    <n v="96.83"/>
    <n v="9.6500000000000002E-2"/>
    <n v="3.3399999999999999E-2"/>
    <n v="0.92910000000000004"/>
    <n v="697"/>
    <n v="9"/>
    <n v="38.520000000000003"/>
    <n v="94.58"/>
  </r>
  <r>
    <x v="4"/>
    <s v="2025-12-18 15:00:00"/>
    <s v="1 hour"/>
    <s v="22"/>
    <s v="BSC_ZTE_Madagascar(22)"/>
    <s v="22"/>
    <s v="BSC_ZTE_Madagascar(22)"/>
    <s v="61102"/>
    <x v="3"/>
    <n v="1"/>
    <n v="5.2"/>
    <n v="30.45"/>
    <n v="99.7"/>
    <n v="0.96250000000000002"/>
    <n v="0.28999999999999998"/>
    <n v="0"/>
    <n v="1.06E-2"/>
    <n v="1"/>
    <n v="0"/>
    <n v="0"/>
    <n v="0"/>
    <n v="1"/>
    <n v="0"/>
    <n v="0"/>
    <n v="1"/>
    <n v="3.7000000000000002E-3"/>
    <n v="99.7"/>
    <n v="53"/>
    <n v="333"/>
    <n v="3913"/>
    <n v="657"/>
    <n v="0"/>
    <n v="98.02"/>
    <n v="0"/>
    <n v="0"/>
    <n v="94.43"/>
    <n v="0.17810000000000001"/>
    <n v="6.4999999999999997E-3"/>
    <n v="0.84119999999999995"/>
    <n v="0"/>
    <n v="8"/>
    <n v="32.01"/>
    <n v="100"/>
  </r>
  <r>
    <x v="5"/>
    <s v="2025-12-18 16:00:00"/>
    <s v="1 hour"/>
    <s v="22"/>
    <s v="BSC_ZTE_Madagascar(22)"/>
    <s v="22"/>
    <s v="BSC_ZTE_Madagascar(22)"/>
    <s v="11287"/>
    <x v="0"/>
    <n v="1"/>
    <n v="15.61"/>
    <n v="123.29"/>
    <n v="100"/>
    <n v="0.97860000000000003"/>
    <n v="0.32"/>
    <n v="0"/>
    <n v="1.3299999999999999E-2"/>
    <n v="4"/>
    <n v="0"/>
    <n v="0"/>
    <n v="0"/>
    <n v="2"/>
    <n v="2"/>
    <n v="0"/>
    <n v="2"/>
    <n v="2.8E-3"/>
    <n v="100"/>
    <n v="8"/>
    <n v="883"/>
    <n v="5042"/>
    <n v="736"/>
    <n v="0"/>
    <n v="98.52"/>
    <n v="0.5"/>
    <n v="0"/>
    <n v="97.46"/>
    <n v="7.0900000000000005E-2"/>
    <n v="2.12E-2"/>
    <n v="0.95469999999999999"/>
    <n v="0"/>
    <n v="9"/>
    <n v="38.65"/>
    <n v="100"/>
  </r>
  <r>
    <x v="5"/>
    <s v="2025-12-18 16:00:00"/>
    <s v="1 hour"/>
    <s v="22"/>
    <s v="BSC_ZTE_Madagascar(22)"/>
    <s v="22"/>
    <s v="BSC_ZTE_Madagascar(22)"/>
    <s v="11405"/>
    <x v="1"/>
    <n v="1"/>
    <n v="7.79"/>
    <n v="99.06"/>
    <n v="99.38"/>
    <n v="0.96"/>
    <n v="0.21"/>
    <n v="0.02"/>
    <n v="1.37E-2"/>
    <n v="1"/>
    <n v="1"/>
    <n v="0"/>
    <n v="0"/>
    <n v="0"/>
    <n v="1"/>
    <n v="0"/>
    <n v="0"/>
    <n v="2.8E-3"/>
    <n v="99.4"/>
    <n v="45"/>
    <n v="498"/>
    <n v="4927"/>
    <n v="654"/>
    <n v="0"/>
    <n v="95.85"/>
    <n v="1"/>
    <n v="0"/>
    <n v="95.9"/>
    <n v="0.18179999999999999"/>
    <n v="2.1499999999999998E-2"/>
    <n v="0.90529999999999999"/>
    <n v="0"/>
    <n v="8"/>
    <n v="33.67"/>
    <n v="100"/>
  </r>
  <r>
    <x v="5"/>
    <s v="2025-12-18 16:00:00"/>
    <s v="1 hour"/>
    <s v="22"/>
    <s v="BSC_ZTE_Madagascar(22)"/>
    <s v="22"/>
    <s v="BSC_ZTE_Madagascar(22)"/>
    <s v="11651"/>
    <x v="2"/>
    <n v="1"/>
    <n v="10.54"/>
    <n v="60.66"/>
    <n v="99.72"/>
    <n v="0.97829999999999995"/>
    <n v="0.34"/>
    <n v="0.11"/>
    <n v="6.4999999999999997E-3"/>
    <n v="4"/>
    <n v="4"/>
    <n v="0"/>
    <n v="0"/>
    <n v="4"/>
    <n v="0"/>
    <n v="0"/>
    <n v="4"/>
    <n v="3.0000000000000001E-3"/>
    <n v="99.82"/>
    <n v="24"/>
    <n v="570"/>
    <n v="3763"/>
    <n v="739"/>
    <n v="0"/>
    <n v="96.68"/>
    <n v="0"/>
    <n v="0"/>
    <n v="97.06"/>
    <n v="8.6699999999999999E-2"/>
    <n v="4.3299999999999998E-2"/>
    <n v="0.94310000000000005"/>
    <n v="0"/>
    <n v="9"/>
    <n v="43.43"/>
    <n v="100"/>
  </r>
  <r>
    <x v="5"/>
    <s v="2025-12-18 16:00:00"/>
    <s v="1 hour"/>
    <s v="22"/>
    <s v="BSC_ZTE_Madagascar(22)"/>
    <s v="22"/>
    <s v="BSC_ZTE_Madagascar(22)"/>
    <s v="61102"/>
    <x v="3"/>
    <n v="1"/>
    <n v="5.48"/>
    <n v="27.85"/>
    <n v="100"/>
    <n v="0.97170000000000001"/>
    <n v="0.32"/>
    <n v="0"/>
    <n v="7.4000000000000003E-3"/>
    <n v="2"/>
    <n v="0"/>
    <n v="0"/>
    <n v="0"/>
    <n v="1"/>
    <n v="1"/>
    <n v="0"/>
    <n v="1"/>
    <n v="2.7000000000000001E-3"/>
    <n v="100"/>
    <n v="32"/>
    <n v="305"/>
    <n v="3520"/>
    <n v="661"/>
    <n v="0"/>
    <n v="98.01"/>
    <n v="0.5"/>
    <n v="0"/>
    <n v="95.86"/>
    <n v="0.11890000000000001"/>
    <n v="9.1000000000000004E-3"/>
    <n v="0.83109999999999995"/>
    <n v="0"/>
    <n v="8"/>
    <n v="31.73"/>
    <n v="100"/>
  </r>
  <r>
    <x v="6"/>
    <s v="2025-12-18 17:00:00"/>
    <s v="1 hour"/>
    <s v="22"/>
    <s v="BSC_ZTE_Madagascar(22)"/>
    <s v="22"/>
    <s v="BSC_ZTE_Madagascar(22)"/>
    <s v="11287"/>
    <x v="0"/>
    <n v="1"/>
    <n v="17.07"/>
    <n v="136.19999999999999"/>
    <n v="99.85"/>
    <n v="0.97950000000000004"/>
    <n v="0.1"/>
    <n v="0.04"/>
    <n v="7.6E-3"/>
    <n v="1"/>
    <n v="2"/>
    <n v="0"/>
    <n v="0"/>
    <n v="1"/>
    <n v="0"/>
    <n v="0"/>
    <n v="1"/>
    <n v="2.5000000000000001E-3"/>
    <n v="99.89"/>
    <n v="7"/>
    <n v="902"/>
    <n v="5117"/>
    <n v="734"/>
    <n v="0"/>
    <n v="98.5"/>
    <n v="0"/>
    <n v="0"/>
    <n v="96.43"/>
    <n v="6.3100000000000003E-2"/>
    <n v="2.4299999999999999E-2"/>
    <n v="0.93700000000000006"/>
    <n v="0"/>
    <n v="9"/>
    <n v="42.47"/>
    <n v="100"/>
  </r>
  <r>
    <x v="6"/>
    <s v="2025-12-18 17:00:00"/>
    <s v="1 hour"/>
    <s v="22"/>
    <s v="BSC_ZTE_Madagascar(22)"/>
    <s v="22"/>
    <s v="BSC_ZTE_Madagascar(22)"/>
    <s v="11405"/>
    <x v="1"/>
    <n v="1"/>
    <n v="8.43"/>
    <n v="123.36"/>
    <n v="99.58"/>
    <n v="0.96830000000000005"/>
    <n v="0"/>
    <n v="0.04"/>
    <n v="1.44E-2"/>
    <n v="0"/>
    <n v="2"/>
    <n v="0"/>
    <n v="0"/>
    <n v="0"/>
    <n v="0"/>
    <n v="0"/>
    <n v="0"/>
    <n v="3.7000000000000002E-3"/>
    <n v="99.62"/>
    <n v="45"/>
    <n v="525"/>
    <n v="5204"/>
    <n v="654"/>
    <n v="0"/>
    <n v="90.19"/>
    <m/>
    <n v="0"/>
    <n v="93.38"/>
    <n v="0.1978"/>
    <n v="4.1500000000000002E-2"/>
    <n v="0.91359999999999997"/>
    <n v="0"/>
    <n v="8"/>
    <n v="34.6"/>
    <n v="100"/>
  </r>
  <r>
    <x v="6"/>
    <s v="2025-12-18 17:00:00"/>
    <s v="1 hour"/>
    <s v="22"/>
    <s v="BSC_ZTE_Madagascar(22)"/>
    <s v="22"/>
    <s v="BSC_ZTE_Madagascar(22)"/>
    <s v="11651"/>
    <x v="2"/>
    <n v="0.95"/>
    <n v="8.32"/>
    <n v="36.03"/>
    <n v="99.74"/>
    <n v="0.97589999999999999"/>
    <n v="0.38"/>
    <n v="0.05"/>
    <n v="8.6E-3"/>
    <n v="2"/>
    <n v="2"/>
    <n v="0"/>
    <n v="0"/>
    <n v="2"/>
    <n v="0"/>
    <n v="0"/>
    <n v="2"/>
    <n v="2.8999999999999998E-3"/>
    <n v="99.8"/>
    <n v="26"/>
    <n v="488"/>
    <n v="4036"/>
    <n v="673"/>
    <n v="0"/>
    <n v="96.2"/>
    <n v="0"/>
    <n v="0"/>
    <n v="97.75"/>
    <n v="0.1028"/>
    <n v="3.7499999999999999E-2"/>
    <n v="0.92369999999999997"/>
    <n v="685"/>
    <n v="9"/>
    <n v="39.01"/>
    <n v="95"/>
  </r>
  <r>
    <x v="6"/>
    <s v="2025-12-18 17:00:00"/>
    <s v="1 hour"/>
    <s v="22"/>
    <s v="BSC_ZTE_Madagascar(22)"/>
    <s v="22"/>
    <s v="BSC_ZTE_Madagascar(22)"/>
    <s v="61102"/>
    <x v="3"/>
    <n v="1"/>
    <n v="5.86"/>
    <n v="23.02"/>
    <n v="99.71"/>
    <n v="0.96560000000000001"/>
    <n v="0.28999999999999998"/>
    <n v="0"/>
    <n v="1.04E-2"/>
    <n v="2"/>
    <n v="0"/>
    <n v="0"/>
    <n v="0"/>
    <n v="2"/>
    <n v="0"/>
    <n v="0"/>
    <n v="2"/>
    <n v="2.3999999999999998E-3"/>
    <n v="99.71"/>
    <n v="58"/>
    <n v="347"/>
    <n v="3885"/>
    <n v="659"/>
    <n v="0"/>
    <n v="98.23"/>
    <n v="0"/>
    <n v="0"/>
    <n v="95.71"/>
    <n v="0.15890000000000001"/>
    <n v="4.7999999999999996E-3"/>
    <n v="0.85580000000000001"/>
    <n v="0"/>
    <n v="8"/>
    <n v="30.02"/>
    <n v="100"/>
  </r>
  <r>
    <x v="7"/>
    <s v="2025-12-18 18:00:00"/>
    <s v="1 hour"/>
    <s v="22"/>
    <s v="BSC_ZTE_Madagascar(22)"/>
    <s v="22"/>
    <s v="BSC_ZTE_Madagascar(22)"/>
    <s v="11287"/>
    <x v="0"/>
    <n v="1"/>
    <n v="15.08"/>
    <n v="168.84"/>
    <n v="99.68"/>
    <n v="0.98229999999999995"/>
    <n v="0.25"/>
    <n v="7.0000000000000007E-2"/>
    <n v="8.5000000000000006E-3"/>
    <n v="3"/>
    <n v="3"/>
    <n v="0"/>
    <n v="0"/>
    <n v="3"/>
    <n v="0"/>
    <n v="0"/>
    <n v="3"/>
    <n v="2.5000000000000001E-3"/>
    <n v="99.75"/>
    <n v="17"/>
    <n v="790"/>
    <n v="4772"/>
    <n v="740"/>
    <n v="0"/>
    <n v="98.88"/>
    <n v="0"/>
    <n v="0"/>
    <n v="97.2"/>
    <n v="7.9100000000000004E-2"/>
    <n v="1.6799999999999999E-2"/>
    <n v="0.94210000000000005"/>
    <n v="0"/>
    <n v="9"/>
    <n v="43.42"/>
    <n v="100"/>
  </r>
  <r>
    <x v="7"/>
    <s v="2025-12-18 18:00:00"/>
    <s v="1 hour"/>
    <s v="22"/>
    <s v="BSC_ZTE_Madagascar(22)"/>
    <s v="22"/>
    <s v="BSC_ZTE_Madagascar(22)"/>
    <s v="11405"/>
    <x v="1"/>
    <n v="1"/>
    <n v="10.199999999999999"/>
    <n v="146.54"/>
    <n v="99.49"/>
    <n v="0.97570000000000001"/>
    <n v="0"/>
    <n v="0"/>
    <n v="1.32E-2"/>
    <n v="0"/>
    <n v="0"/>
    <n v="0"/>
    <n v="0"/>
    <n v="0"/>
    <n v="0"/>
    <n v="0"/>
    <n v="0"/>
    <n v="2.8E-3"/>
    <n v="99.49"/>
    <n v="38"/>
    <n v="583"/>
    <n v="5580"/>
    <n v="657"/>
    <n v="0"/>
    <n v="96.12"/>
    <m/>
    <n v="0"/>
    <n v="94.14"/>
    <n v="0.22159999999999999"/>
    <n v="2.6599999999999999E-2"/>
    <n v="0.91910000000000003"/>
    <n v="0"/>
    <n v="8"/>
    <n v="32.090000000000003"/>
    <n v="100"/>
  </r>
  <r>
    <x v="7"/>
    <s v="2025-12-18 18:00:00"/>
    <s v="1 hour"/>
    <s v="22"/>
    <s v="BSC_ZTE_Madagascar(22)"/>
    <s v="22"/>
    <s v="BSC_ZTE_Madagascar(22)"/>
    <s v="11651"/>
    <x v="2"/>
    <n v="1"/>
    <n v="10.52"/>
    <n v="40.590000000000003"/>
    <n v="99.81"/>
    <n v="0.9778"/>
    <n v="0.46"/>
    <n v="0.03"/>
    <n v="8.8999999999999999E-3"/>
    <n v="4"/>
    <n v="1"/>
    <n v="0"/>
    <n v="0"/>
    <n v="4"/>
    <n v="0"/>
    <n v="0"/>
    <n v="4"/>
    <n v="2.8E-3"/>
    <n v="99.83"/>
    <n v="16"/>
    <n v="603"/>
    <n v="3747"/>
    <n v="733"/>
    <n v="0"/>
    <n v="95.42"/>
    <n v="0"/>
    <n v="0"/>
    <n v="97.65"/>
    <n v="0.1348"/>
    <n v="4.3999999999999997E-2"/>
    <n v="0.95820000000000005"/>
    <n v="0"/>
    <n v="9"/>
    <n v="42.21"/>
    <n v="100"/>
  </r>
  <r>
    <x v="7"/>
    <s v="2025-12-18 18:00:00"/>
    <s v="1 hour"/>
    <s v="22"/>
    <s v="BSC_ZTE_Madagascar(22)"/>
    <s v="22"/>
    <s v="BSC_ZTE_Madagascar(22)"/>
    <s v="61102"/>
    <x v="3"/>
    <n v="1"/>
    <n v="5.66"/>
    <n v="15.72"/>
    <n v="99.69"/>
    <n v="0.96409999999999996"/>
    <n v="0"/>
    <n v="0.05"/>
    <n v="8.6999999999999994E-3"/>
    <n v="2"/>
    <n v="2"/>
    <n v="0"/>
    <n v="0"/>
    <n v="2"/>
    <n v="0"/>
    <n v="0"/>
    <n v="2"/>
    <n v="3.5000000000000001E-3"/>
    <n v="99.74"/>
    <n v="58"/>
    <n v="384"/>
    <n v="4125"/>
    <n v="661"/>
    <n v="0"/>
    <n v="97.22"/>
    <n v="0"/>
    <n v="0"/>
    <n v="94.18"/>
    <n v="0.2175"/>
    <n v="1.2999999999999999E-2"/>
    <n v="0.85209999999999997"/>
    <n v="0"/>
    <n v="8"/>
    <n v="30.88"/>
    <n v="100"/>
  </r>
  <r>
    <x v="8"/>
    <s v="2025-12-18 19:00:00"/>
    <s v="1 hour"/>
    <s v="22"/>
    <s v="BSC_ZTE_Madagascar(22)"/>
    <s v="22"/>
    <s v="BSC_ZTE_Madagascar(22)"/>
    <s v="11287"/>
    <x v="0"/>
    <n v="1"/>
    <n v="14.85"/>
    <n v="208.35"/>
    <n v="99.67"/>
    <n v="0.98270000000000002"/>
    <n v="0.22"/>
    <n v="0.1"/>
    <n v="1.0200000000000001E-2"/>
    <n v="4"/>
    <n v="5"/>
    <n v="0"/>
    <n v="0"/>
    <n v="3"/>
    <n v="1"/>
    <n v="0"/>
    <n v="3"/>
    <n v="3.0000000000000001E-3"/>
    <n v="99.77"/>
    <n v="16"/>
    <n v="865"/>
    <n v="5174"/>
    <n v="734"/>
    <n v="0"/>
    <n v="97.63"/>
    <n v="0.25"/>
    <n v="0"/>
    <n v="96.56"/>
    <n v="9.1499999999999998E-2"/>
    <n v="2.7199999999999998E-2"/>
    <n v="0.9425"/>
    <n v="0"/>
    <n v="9"/>
    <n v="43.58"/>
    <n v="100"/>
  </r>
  <r>
    <x v="8"/>
    <s v="2025-12-18 19:00:00"/>
    <s v="1 hour"/>
    <s v="22"/>
    <s v="BSC_ZTE_Madagascar(22)"/>
    <s v="22"/>
    <s v="BSC_ZTE_Madagascar(22)"/>
    <s v="11405"/>
    <x v="1"/>
    <n v="1"/>
    <n v="13.71"/>
    <n v="105.61"/>
    <n v="99.77"/>
    <n v="0.96589999999999998"/>
    <n v="0"/>
    <n v="0"/>
    <n v="1.7899999999999999E-2"/>
    <n v="1"/>
    <n v="0"/>
    <n v="0"/>
    <n v="0"/>
    <n v="1"/>
    <n v="0"/>
    <n v="0"/>
    <n v="1"/>
    <n v="3.3999999999999998E-3"/>
    <n v="99.77"/>
    <n v="24"/>
    <n v="861"/>
    <n v="6898"/>
    <n v="646"/>
    <n v="0"/>
    <n v="94.85"/>
    <n v="0"/>
    <n v="0"/>
    <n v="94.01"/>
    <n v="0.2114"/>
    <n v="3.4700000000000002E-2"/>
    <n v="0.95050000000000001"/>
    <n v="0"/>
    <n v="8"/>
    <n v="31.54"/>
    <n v="100"/>
  </r>
  <r>
    <x v="8"/>
    <s v="2025-12-18 19:00:00"/>
    <s v="1 hour"/>
    <s v="22"/>
    <s v="BSC_ZTE_Madagascar(22)"/>
    <s v="22"/>
    <s v="BSC_ZTE_Madagascar(22)"/>
    <s v="11651"/>
    <x v="2"/>
    <n v="1"/>
    <n v="12.69"/>
    <n v="48.67"/>
    <n v="99.85"/>
    <n v="0.97950000000000004"/>
    <n v="0"/>
    <n v="0"/>
    <n v="8.0000000000000002E-3"/>
    <n v="1"/>
    <n v="0"/>
    <n v="0"/>
    <n v="0"/>
    <n v="1"/>
    <n v="0"/>
    <n v="0"/>
    <n v="1"/>
    <n v="2.2000000000000001E-3"/>
    <n v="99.85"/>
    <n v="6"/>
    <n v="674"/>
    <n v="3712"/>
    <n v="738"/>
    <n v="0"/>
    <n v="97.2"/>
    <n v="0"/>
    <n v="0"/>
    <n v="97.52"/>
    <n v="0.13880000000000001"/>
    <n v="4.2700000000000002E-2"/>
    <n v="0.96799999999999997"/>
    <n v="0"/>
    <n v="9"/>
    <n v="40.78"/>
    <n v="100"/>
  </r>
  <r>
    <x v="8"/>
    <s v="2025-12-18 19:00:00"/>
    <s v="1 hour"/>
    <s v="22"/>
    <s v="BSC_ZTE_Madagascar(22)"/>
    <s v="22"/>
    <s v="BSC_ZTE_Madagascar(22)"/>
    <s v="61102"/>
    <x v="3"/>
    <n v="1"/>
    <n v="6.84"/>
    <n v="32.96"/>
    <n v="99.51"/>
    <n v="0.96679999999999999"/>
    <n v="0"/>
    <n v="0"/>
    <n v="9.1999999999999998E-3"/>
    <n v="1"/>
    <n v="0"/>
    <n v="0"/>
    <n v="0"/>
    <n v="1"/>
    <n v="0"/>
    <n v="0"/>
    <n v="1"/>
    <n v="3.0000000000000001E-3"/>
    <n v="99.51"/>
    <n v="35"/>
    <n v="405"/>
    <n v="4896"/>
    <n v="661"/>
    <n v="0"/>
    <n v="97.73"/>
    <n v="0"/>
    <n v="0"/>
    <n v="93.86"/>
    <n v="0.1583"/>
    <n v="1.38E-2"/>
    <n v="0.88349999999999995"/>
    <n v="0"/>
    <n v="8"/>
    <n v="31.55"/>
    <n v="100"/>
  </r>
  <r>
    <x v="9"/>
    <s v="2025-12-18 20:00:00"/>
    <s v="1 hour"/>
    <s v="22"/>
    <s v="BSC_ZTE_Madagascar(22)"/>
    <s v="22"/>
    <s v="BSC_ZTE_Madagascar(22)"/>
    <s v="11287"/>
    <x v="0"/>
    <n v="1"/>
    <n v="20.02"/>
    <n v="177.75"/>
    <n v="99.7"/>
    <n v="0.97929999999999995"/>
    <n v="0.1"/>
    <n v="0"/>
    <n v="1.41E-2"/>
    <n v="5"/>
    <n v="0"/>
    <n v="0"/>
    <n v="0"/>
    <n v="5"/>
    <n v="0"/>
    <n v="0"/>
    <n v="5"/>
    <n v="2.3E-3"/>
    <n v="99.7"/>
    <n v="6"/>
    <n v="988"/>
    <n v="5342"/>
    <n v="734"/>
    <n v="0"/>
    <n v="98.43"/>
    <n v="0"/>
    <n v="0"/>
    <n v="97.2"/>
    <n v="6.4699999999999994E-2"/>
    <n v="3.44E-2"/>
    <n v="0.9304"/>
    <n v="0"/>
    <n v="9"/>
    <n v="43.74"/>
    <n v="100"/>
  </r>
  <r>
    <x v="9"/>
    <s v="2025-12-18 20:00:00"/>
    <s v="1 hour"/>
    <s v="22"/>
    <s v="BSC_ZTE_Madagascar(22)"/>
    <s v="22"/>
    <s v="BSC_ZTE_Madagascar(22)"/>
    <s v="11405"/>
    <x v="1"/>
    <n v="1"/>
    <n v="19.71"/>
    <n v="143.46"/>
    <n v="99.69"/>
    <n v="0.96830000000000005"/>
    <n v="0"/>
    <n v="0.04"/>
    <n v="1.0500000000000001E-2"/>
    <n v="3"/>
    <n v="3"/>
    <n v="0"/>
    <n v="0"/>
    <n v="1"/>
    <n v="2"/>
    <n v="0"/>
    <n v="1"/>
    <n v="3.0999999999999999E-3"/>
    <n v="99.72"/>
    <n v="12"/>
    <n v="1090"/>
    <n v="8008"/>
    <n v="644"/>
    <n v="0"/>
    <n v="96.3"/>
    <n v="0.66669999999999996"/>
    <n v="0"/>
    <n v="94.06"/>
    <n v="0.22109999999999999"/>
    <n v="3.4700000000000002E-2"/>
    <n v="0.9708"/>
    <n v="0"/>
    <n v="8"/>
    <n v="33.799999999999997"/>
    <n v="100"/>
  </r>
  <r>
    <x v="9"/>
    <s v="2025-12-18 20:00:00"/>
    <s v="1 hour"/>
    <s v="22"/>
    <s v="BSC_ZTE_Madagascar(22)"/>
    <s v="22"/>
    <s v="BSC_ZTE_Madagascar(22)"/>
    <s v="11651"/>
    <x v="2"/>
    <n v="0.95"/>
    <n v="14.16"/>
    <n v="58.17"/>
    <n v="99.17"/>
    <n v="0.98150000000000004"/>
    <n v="0.42"/>
    <n v="0.11"/>
    <n v="8.0000000000000002E-3"/>
    <n v="4"/>
    <n v="4"/>
    <n v="0"/>
    <n v="0.28000000000000003"/>
    <n v="2"/>
    <n v="0"/>
    <n v="2"/>
    <n v="2"/>
    <n v="2E-3"/>
    <n v="99.55"/>
    <n v="7"/>
    <n v="670"/>
    <n v="3951"/>
    <n v="670"/>
    <n v="0"/>
    <n v="98.09"/>
    <n v="0"/>
    <n v="0"/>
    <n v="98.13"/>
    <n v="0.13619999999999999"/>
    <n v="2.6499999999999999E-2"/>
    <n v="0.96850000000000003"/>
    <n v="701"/>
    <n v="7"/>
    <n v="37.35"/>
    <n v="95"/>
  </r>
  <r>
    <x v="9"/>
    <s v="2025-12-18 20:00:00"/>
    <s v="1 hour"/>
    <s v="22"/>
    <s v="BSC_ZTE_Madagascar(22)"/>
    <s v="22"/>
    <s v="BSC_ZTE_Madagascar(22)"/>
    <s v="61102"/>
    <x v="3"/>
    <n v="1"/>
    <n v="6.91"/>
    <n v="66.45"/>
    <n v="99.55"/>
    <n v="0.96870000000000001"/>
    <n v="0"/>
    <n v="0"/>
    <n v="1.1299999999999999E-2"/>
    <n v="1"/>
    <n v="0"/>
    <n v="0"/>
    <n v="0"/>
    <n v="1"/>
    <n v="0"/>
    <n v="0"/>
    <n v="1"/>
    <n v="3.7000000000000002E-3"/>
    <n v="99.55"/>
    <n v="44"/>
    <n v="449"/>
    <n v="5070"/>
    <n v="659"/>
    <n v="0"/>
    <n v="97.02"/>
    <n v="0"/>
    <n v="0"/>
    <n v="94.02"/>
    <n v="0.17649999999999999"/>
    <n v="8.0000000000000002E-3"/>
    <n v="0.89200000000000002"/>
    <n v="0"/>
    <n v="8"/>
    <n v="30.71"/>
    <n v="100"/>
  </r>
  <r>
    <x v="10"/>
    <s v="2025-12-18 21:00:00"/>
    <s v="1 hour"/>
    <s v="22"/>
    <s v="BSC_ZTE_Madagascar(22)"/>
    <s v="22"/>
    <s v="BSC_ZTE_Madagascar(22)"/>
    <s v="11287"/>
    <x v="0"/>
    <n v="1"/>
    <n v="22.37"/>
    <n v="120.32"/>
    <n v="99.65"/>
    <n v="0.97299999999999998"/>
    <n v="0.3"/>
    <n v="0.04"/>
    <n v="2.8199999999999999E-2"/>
    <n v="4"/>
    <n v="2"/>
    <n v="0"/>
    <n v="0"/>
    <n v="4"/>
    <n v="0"/>
    <n v="0"/>
    <n v="4"/>
    <n v="2.3E-3"/>
    <n v="99.69"/>
    <n v="1"/>
    <n v="963"/>
    <n v="5144"/>
    <n v="737"/>
    <n v="0"/>
    <n v="97.95"/>
    <n v="0"/>
    <n v="0"/>
    <n v="97.33"/>
    <n v="6.7400000000000002E-2"/>
    <n v="2.8400000000000002E-2"/>
    <n v="0.90200000000000002"/>
    <n v="0"/>
    <n v="9"/>
    <n v="40.24"/>
    <n v="100"/>
  </r>
  <r>
    <x v="10"/>
    <s v="2025-12-18 21:00:00"/>
    <s v="1 hour"/>
    <s v="22"/>
    <s v="BSC_ZTE_Madagascar(22)"/>
    <s v="22"/>
    <s v="BSC_ZTE_Madagascar(22)"/>
    <s v="11405"/>
    <x v="1"/>
    <n v="1"/>
    <n v="22.75"/>
    <n v="144.63999999999999"/>
    <n v="99.57"/>
    <n v="0.96089999999999998"/>
    <n v="0.3"/>
    <n v="0.04"/>
    <n v="1.12E-2"/>
    <n v="4"/>
    <n v="3"/>
    <n v="0"/>
    <n v="0"/>
    <n v="3"/>
    <n v="1"/>
    <n v="0"/>
    <n v="3"/>
    <n v="2.7000000000000001E-3"/>
    <n v="99.61"/>
    <n v="8"/>
    <n v="1014"/>
    <n v="8553"/>
    <n v="647"/>
    <n v="0"/>
    <n v="93.06"/>
    <n v="0.25"/>
    <n v="0"/>
    <n v="95.58"/>
    <n v="0.20319999999999999"/>
    <n v="4.2500000000000003E-2"/>
    <n v="0.95320000000000005"/>
    <n v="0"/>
    <n v="8"/>
    <n v="33.630000000000003"/>
    <n v="100"/>
  </r>
  <r>
    <x v="10"/>
    <s v="2025-12-18 21:00:00"/>
    <s v="1 hour"/>
    <s v="22"/>
    <s v="BSC_ZTE_Madagascar(22)"/>
    <s v="22"/>
    <s v="BSC_ZTE_Madagascar(22)"/>
    <s v="11651"/>
    <x v="2"/>
    <n v="1"/>
    <n v="14.23"/>
    <n v="67.27"/>
    <n v="99.2"/>
    <n v="0.98480000000000001"/>
    <n v="0.16"/>
    <n v="0.15"/>
    <n v="5.1000000000000004E-3"/>
    <n v="1"/>
    <n v="5"/>
    <n v="0"/>
    <n v="0"/>
    <n v="1"/>
    <n v="0"/>
    <n v="0"/>
    <n v="1"/>
    <n v="2E-3"/>
    <n v="99.35"/>
    <n v="11"/>
    <n v="613"/>
    <n v="3402"/>
    <n v="737"/>
    <n v="0"/>
    <n v="97.85"/>
    <n v="0"/>
    <n v="0"/>
    <n v="97.04"/>
    <n v="0.15029999999999999"/>
    <n v="2.4400000000000002E-2"/>
    <n v="0.95130000000000003"/>
    <n v="0"/>
    <n v="9"/>
    <n v="34.380000000000003"/>
    <n v="100"/>
  </r>
  <r>
    <x v="10"/>
    <s v="2025-12-18 21:00:00"/>
    <s v="1 hour"/>
    <s v="22"/>
    <s v="BSC_ZTE_Madagascar(22)"/>
    <s v="22"/>
    <s v="BSC_ZTE_Madagascar(22)"/>
    <s v="61102"/>
    <x v="3"/>
    <n v="1"/>
    <n v="6.94"/>
    <n v="66.8"/>
    <n v="100.27"/>
    <n v="0.97309999999999997"/>
    <n v="0"/>
    <n v="0"/>
    <n v="1.0999999999999999E-2"/>
    <n v="0"/>
    <n v="0"/>
    <n v="0"/>
    <n v="0"/>
    <n v="0"/>
    <n v="0"/>
    <n v="0"/>
    <n v="0"/>
    <n v="2.7000000000000001E-3"/>
    <n v="100.27"/>
    <n v="36"/>
    <n v="367"/>
    <n v="4180"/>
    <n v="658"/>
    <n v="0"/>
    <n v="98.58"/>
    <m/>
    <n v="0"/>
    <n v="93.79"/>
    <n v="0.153"/>
    <n v="2.2200000000000001E-2"/>
    <n v="0.87229999999999996"/>
    <n v="0"/>
    <n v="8"/>
    <n v="31.61"/>
    <n v="100"/>
  </r>
  <r>
    <x v="11"/>
    <s v="2025-12-18 22:00:00"/>
    <s v="1 hour"/>
    <s v="22"/>
    <s v="BSC_ZTE_Madagascar(22)"/>
    <s v="22"/>
    <s v="BSC_ZTE_Madagascar(22)"/>
    <s v="11287"/>
    <x v="0"/>
    <n v="1"/>
    <n v="16.11"/>
    <n v="167.81"/>
    <n v="99.8"/>
    <n v="0.98250000000000004"/>
    <n v="0.14000000000000001"/>
    <n v="0.05"/>
    <n v="1.7600000000000001E-2"/>
    <n v="3"/>
    <n v="2"/>
    <n v="0"/>
    <n v="0"/>
    <n v="1"/>
    <n v="2"/>
    <n v="0"/>
    <n v="1"/>
    <n v="2.3999999999999998E-3"/>
    <n v="99.85"/>
    <n v="13"/>
    <n v="668"/>
    <n v="4492"/>
    <n v="732"/>
    <n v="0"/>
    <n v="99.11"/>
    <n v="0.66669999999999996"/>
    <n v="0"/>
    <n v="98.04"/>
    <n v="6.4600000000000005E-2"/>
    <n v="1.8800000000000001E-2"/>
    <n v="0.91379999999999995"/>
    <n v="0"/>
    <n v="9"/>
    <n v="39.86"/>
    <n v="100"/>
  </r>
  <r>
    <x v="11"/>
    <s v="2025-12-18 22:00:00"/>
    <s v="1 hour"/>
    <s v="22"/>
    <s v="BSC_ZTE_Madagascar(22)"/>
    <s v="22"/>
    <s v="BSC_ZTE_Madagascar(22)"/>
    <s v="11405"/>
    <x v="1"/>
    <n v="1"/>
    <n v="19.23"/>
    <n v="149.21"/>
    <n v="99.88"/>
    <n v="0.96630000000000005"/>
    <n v="0"/>
    <n v="0"/>
    <n v="9.7000000000000003E-3"/>
    <n v="2"/>
    <n v="0"/>
    <n v="0"/>
    <n v="0"/>
    <n v="2"/>
    <n v="0"/>
    <n v="0"/>
    <n v="2"/>
    <n v="2.2000000000000001E-3"/>
    <n v="99.88"/>
    <n v="19"/>
    <n v="813"/>
    <n v="7175"/>
    <n v="643"/>
    <n v="0"/>
    <n v="94.82"/>
    <n v="0"/>
    <n v="0"/>
    <n v="95.13"/>
    <n v="0.2117"/>
    <n v="4.2700000000000002E-2"/>
    <n v="0.93730000000000002"/>
    <n v="0"/>
    <n v="8"/>
    <n v="31.2"/>
    <n v="100"/>
  </r>
  <r>
    <x v="11"/>
    <s v="2025-12-18 22:00:00"/>
    <s v="1 hour"/>
    <s v="22"/>
    <s v="BSC_ZTE_Madagascar(22)"/>
    <s v="22"/>
    <s v="BSC_ZTE_Madagascar(22)"/>
    <s v="11651"/>
    <x v="2"/>
    <n v="1"/>
    <n v="11.42"/>
    <n v="51.58"/>
    <n v="99.62"/>
    <n v="0.98109999999999997"/>
    <n v="0"/>
    <n v="0.18"/>
    <n v="1.0999999999999999E-2"/>
    <n v="1"/>
    <n v="5"/>
    <n v="0"/>
    <n v="0"/>
    <n v="1"/>
    <n v="0"/>
    <n v="0"/>
    <n v="1"/>
    <n v="1.6999999999999999E-3"/>
    <n v="99.8"/>
    <n v="11"/>
    <n v="495"/>
    <n v="2909"/>
    <n v="738"/>
    <n v="0"/>
    <n v="97.8"/>
    <n v="0"/>
    <n v="0"/>
    <n v="98"/>
    <n v="0.1095"/>
    <n v="1.3100000000000001E-2"/>
    <n v="0.93859999999999999"/>
    <n v="0"/>
    <n v="9"/>
    <n v="40.43"/>
    <n v="100"/>
  </r>
  <r>
    <x v="11"/>
    <s v="2025-12-18 22:00:00"/>
    <s v="1 hour"/>
    <s v="22"/>
    <s v="BSC_ZTE_Madagascar(22)"/>
    <s v="22"/>
    <s v="BSC_ZTE_Madagascar(22)"/>
    <s v="61102"/>
    <x v="3"/>
    <n v="1"/>
    <n v="5.32"/>
    <n v="49.4"/>
    <n v="99.92"/>
    <n v="0.97719999999999996"/>
    <n v="0"/>
    <n v="0.08"/>
    <n v="1.04E-2"/>
    <n v="0"/>
    <n v="3"/>
    <n v="0"/>
    <n v="0"/>
    <n v="0"/>
    <n v="0"/>
    <n v="0"/>
    <n v="0"/>
    <n v="3.3E-3"/>
    <n v="100"/>
    <n v="45"/>
    <n v="320"/>
    <n v="4066"/>
    <n v="660"/>
    <n v="0"/>
    <n v="95.44"/>
    <m/>
    <n v="0"/>
    <n v="93.53"/>
    <n v="0.19969999999999999"/>
    <n v="1.0500000000000001E-2"/>
    <n v="0.83750000000000002"/>
    <n v="0"/>
    <n v="8"/>
    <n v="32.380000000000003"/>
    <n v="100"/>
  </r>
  <r>
    <x v="12"/>
    <s v="2025-12-18 23:00:00"/>
    <s v="1 hour"/>
    <s v="22"/>
    <s v="BSC_ZTE_Madagascar(22)"/>
    <s v="22"/>
    <s v="BSC_ZTE_Madagascar(22)"/>
    <s v="11287"/>
    <x v="0"/>
    <n v="1"/>
    <n v="11.14"/>
    <n v="99.69"/>
    <n v="99.97"/>
    <n v="0.98470000000000002"/>
    <n v="0.45"/>
    <n v="0.03"/>
    <n v="9.1999999999999998E-3"/>
    <n v="3"/>
    <n v="1"/>
    <n v="0"/>
    <n v="0"/>
    <n v="3"/>
    <n v="0"/>
    <n v="0"/>
    <n v="3"/>
    <n v="2.3E-3"/>
    <n v="100"/>
    <n v="19"/>
    <n v="401"/>
    <n v="3610"/>
    <n v="739"/>
    <n v="0"/>
    <n v="98.15"/>
    <n v="0"/>
    <n v="0"/>
    <n v="97.77"/>
    <n v="7.2999999999999995E-2"/>
    <n v="1.46E-2"/>
    <n v="0.87729999999999997"/>
    <n v="0"/>
    <n v="9"/>
    <n v="39.450000000000003"/>
    <n v="100"/>
  </r>
  <r>
    <x v="12"/>
    <s v="2025-12-18 23:00:00"/>
    <s v="1 hour"/>
    <s v="22"/>
    <s v="BSC_ZTE_Madagascar(22)"/>
    <s v="22"/>
    <s v="BSC_ZTE_Madagascar(22)"/>
    <s v="11405"/>
    <x v="1"/>
    <n v="1"/>
    <n v="11.74"/>
    <n v="151.25"/>
    <n v="99.49"/>
    <n v="0.97019999999999995"/>
    <n v="0.78"/>
    <n v="0.13"/>
    <n v="1.67E-2"/>
    <n v="5"/>
    <n v="8"/>
    <n v="0"/>
    <n v="0"/>
    <n v="4"/>
    <n v="1"/>
    <n v="0"/>
    <n v="4"/>
    <n v="2E-3"/>
    <n v="99.62"/>
    <n v="30"/>
    <n v="530"/>
    <n v="6569"/>
    <n v="646"/>
    <n v="0"/>
    <n v="98.83"/>
    <n v="0.2"/>
    <n v="0"/>
    <n v="96.66"/>
    <n v="0.1522"/>
    <n v="4.3499999999999997E-2"/>
    <n v="0.9647"/>
    <n v="0"/>
    <n v="8"/>
    <n v="33.14"/>
    <n v="100"/>
  </r>
  <r>
    <x v="12"/>
    <s v="2025-12-18 23:00:00"/>
    <s v="1 hour"/>
    <s v="22"/>
    <s v="BSC_ZTE_Madagascar(22)"/>
    <s v="22"/>
    <s v="BSC_ZTE_Madagascar(22)"/>
    <s v="11651"/>
    <x v="2"/>
    <n v="1"/>
    <n v="6.73"/>
    <n v="39.99"/>
    <n v="100"/>
    <n v="0.98480000000000001"/>
    <n v="0.32"/>
    <n v="0"/>
    <n v="6.3E-3"/>
    <n v="1"/>
    <n v="0"/>
    <n v="0"/>
    <n v="0"/>
    <n v="1"/>
    <n v="0"/>
    <n v="0"/>
    <n v="1"/>
    <n v="2E-3"/>
    <n v="100"/>
    <n v="22"/>
    <n v="301"/>
    <n v="2280"/>
    <n v="739"/>
    <n v="0"/>
    <n v="98.48"/>
    <n v="0"/>
    <n v="0"/>
    <n v="97.67"/>
    <n v="0.18970000000000001"/>
    <n v="1.5100000000000001E-2"/>
    <n v="0.90439999999999998"/>
    <n v="0"/>
    <n v="9"/>
    <n v="41.35"/>
    <n v="100"/>
  </r>
  <r>
    <x v="12"/>
    <s v="2025-12-18 23:00:00"/>
    <s v="1 hour"/>
    <s v="22"/>
    <s v="BSC_ZTE_Madagascar(22)"/>
    <s v="22"/>
    <s v="BSC_ZTE_Madagascar(22)"/>
    <s v="61102"/>
    <x v="3"/>
    <n v="1"/>
    <n v="3.28"/>
    <n v="25.08"/>
    <n v="99.53"/>
    <n v="0.97599999999999998"/>
    <n v="0"/>
    <n v="0"/>
    <n v="6.3E-3"/>
    <n v="0"/>
    <n v="0"/>
    <n v="0"/>
    <n v="0"/>
    <n v="0"/>
    <n v="0"/>
    <n v="0"/>
    <n v="0"/>
    <n v="3.5999999999999999E-3"/>
    <n v="99.53"/>
    <n v="67"/>
    <n v="211"/>
    <n v="3066"/>
    <n v="663"/>
    <n v="0"/>
    <n v="94.68"/>
    <m/>
    <n v="0"/>
    <n v="92.52"/>
    <n v="0.2334"/>
    <n v="1.3299999999999999E-2"/>
    <n v="0.68669999999999998"/>
    <n v="0"/>
    <n v="8"/>
    <n v="31.5"/>
    <n v="100"/>
  </r>
  <r>
    <x v="13"/>
    <s v="2025-12-19 00:00:00"/>
    <s v="1 hour"/>
    <s v="22"/>
    <s v="BSC_ZTE_Madagascar(22)"/>
    <s v="22"/>
    <s v="BSC_ZTE_Madagascar(22)"/>
    <s v="11287"/>
    <x v="0"/>
    <n v="1"/>
    <n v="4.3600000000000003"/>
    <n v="45"/>
    <n v="100"/>
    <n v="0.98499999999999999"/>
    <n v="0"/>
    <n v="0"/>
    <n v="7.3000000000000001E-3"/>
    <n v="1"/>
    <n v="0"/>
    <n v="0"/>
    <n v="0"/>
    <n v="1"/>
    <n v="0"/>
    <n v="0"/>
    <n v="1"/>
    <n v="2.2000000000000001E-3"/>
    <n v="100"/>
    <n v="42"/>
    <n v="171"/>
    <n v="2766"/>
    <n v="739"/>
    <n v="0"/>
    <n v="98.73"/>
    <n v="0"/>
    <n v="0"/>
    <n v="97.54"/>
    <n v="5.9799999999999999E-2"/>
    <n v="3.0800000000000001E-2"/>
    <n v="0.79779999999999995"/>
    <n v="0"/>
    <n v="9"/>
    <n v="38.29"/>
    <n v="100"/>
  </r>
  <r>
    <x v="13"/>
    <s v="2025-12-19 00:00:00"/>
    <s v="1 hour"/>
    <s v="22"/>
    <s v="BSC_ZTE_Madagascar(22)"/>
    <s v="22"/>
    <s v="BSC_ZTE_Madagascar(22)"/>
    <s v="11405"/>
    <x v="1"/>
    <n v="1"/>
    <n v="5.34"/>
    <n v="111.55"/>
    <n v="99.98"/>
    <n v="0.96689999999999998"/>
    <n v="0.84"/>
    <n v="0.02"/>
    <n v="1.9699999999999999E-2"/>
    <n v="5"/>
    <n v="1"/>
    <n v="0"/>
    <n v="0"/>
    <n v="5"/>
    <n v="0"/>
    <n v="0"/>
    <n v="5"/>
    <n v="1.9E-3"/>
    <n v="100"/>
    <n v="40"/>
    <n v="239"/>
    <n v="4933"/>
    <n v="654"/>
    <n v="0"/>
    <n v="99.09"/>
    <n v="0"/>
    <n v="0"/>
    <n v="97.53"/>
    <n v="0.12330000000000001"/>
    <n v="9.1000000000000004E-3"/>
    <n v="0.76229999999999998"/>
    <n v="0"/>
    <n v="8"/>
    <n v="37.19"/>
    <n v="100"/>
  </r>
  <r>
    <x v="13"/>
    <s v="2025-12-19 00:00:00"/>
    <s v="1 hour"/>
    <s v="22"/>
    <s v="BSC_ZTE_Madagascar(22)"/>
    <s v="22"/>
    <s v="BSC_ZTE_Madagascar(22)"/>
    <s v="11651"/>
    <x v="2"/>
    <n v="1"/>
    <n v="2.73"/>
    <n v="19.760000000000002"/>
    <n v="99.81"/>
    <n v="0.98650000000000004"/>
    <n v="0.71"/>
    <n v="0.19"/>
    <n v="1.0200000000000001E-2"/>
    <n v="1"/>
    <n v="3"/>
    <n v="0"/>
    <n v="0"/>
    <n v="1"/>
    <n v="0"/>
    <n v="0"/>
    <n v="1"/>
    <n v="2E-3"/>
    <n v="100"/>
    <n v="51"/>
    <n v="132"/>
    <n v="1563"/>
    <n v="737"/>
    <n v="0"/>
    <n v="100"/>
    <n v="0"/>
    <n v="0"/>
    <n v="98.27"/>
    <n v="0.1181"/>
    <n v="6.8999999999999999E-3"/>
    <n v="0.69279999999999997"/>
    <n v="0"/>
    <n v="9"/>
    <n v="36.29"/>
    <n v="100"/>
  </r>
  <r>
    <x v="13"/>
    <s v="2025-12-19 00:00:00"/>
    <s v="1 hour"/>
    <s v="22"/>
    <s v="BSC_ZTE_Madagascar(22)"/>
    <s v="22"/>
    <s v="BSC_ZTE_Madagascar(22)"/>
    <s v="61102"/>
    <x v="3"/>
    <n v="1"/>
    <n v="2"/>
    <n v="22.56"/>
    <n v="98.88"/>
    <n v="0.98560000000000003"/>
    <n v="0"/>
    <n v="0.05"/>
    <n v="6.7000000000000002E-3"/>
    <n v="0"/>
    <n v="1"/>
    <n v="0"/>
    <n v="0"/>
    <n v="0"/>
    <n v="0"/>
    <n v="0"/>
    <n v="0"/>
    <n v="1.9E-3"/>
    <n v="98.92"/>
    <n v="40"/>
    <n v="93"/>
    <n v="2192"/>
    <n v="658"/>
    <n v="0"/>
    <n v="98.06"/>
    <m/>
    <n v="0"/>
    <n v="97"/>
    <n v="0.11169999999999999"/>
    <n v="4.8999999999999998E-3"/>
    <n v="0.58720000000000006"/>
    <n v="0"/>
    <n v="8"/>
    <n v="32.729999999999997"/>
    <n v="100"/>
  </r>
  <r>
    <x v="14"/>
    <s v="2025-12-19 01:00:00"/>
    <s v="1 hour"/>
    <s v="22"/>
    <s v="BSC_ZTE_Madagascar(22)"/>
    <s v="22"/>
    <s v="BSC_ZTE_Madagascar(22)"/>
    <s v="11287"/>
    <x v="0"/>
    <n v="1"/>
    <n v="1.29"/>
    <n v="34.17"/>
    <n v="100"/>
    <n v="0.98540000000000005"/>
    <n v="0"/>
    <n v="0"/>
    <n v="8.2000000000000007E-3"/>
    <n v="0"/>
    <n v="0"/>
    <n v="0"/>
    <n v="0"/>
    <n v="0"/>
    <n v="0"/>
    <n v="0"/>
    <n v="0"/>
    <n v="2.3999999999999998E-3"/>
    <n v="100"/>
    <n v="47"/>
    <n v="73"/>
    <n v="2422"/>
    <n v="734"/>
    <n v="0"/>
    <n v="98.86"/>
    <m/>
    <n v="0"/>
    <n v="98.59"/>
    <n v="7.9500000000000001E-2"/>
    <n v="1.7000000000000001E-2"/>
    <n v="0.3155"/>
    <n v="0"/>
    <n v="9"/>
    <n v="36.590000000000003"/>
    <n v="100"/>
  </r>
  <r>
    <x v="14"/>
    <s v="2025-12-19 01:00:00"/>
    <s v="1 hour"/>
    <s v="22"/>
    <s v="BSC_ZTE_Madagascar(22)"/>
    <s v="22"/>
    <s v="BSC_ZTE_Madagascar(22)"/>
    <s v="11405"/>
    <x v="1"/>
    <n v="1"/>
    <n v="1.56"/>
    <n v="75.5"/>
    <n v="98.06"/>
    <n v="0.97299999999999998"/>
    <n v="0"/>
    <n v="0"/>
    <n v="1.9900000000000001E-2"/>
    <n v="0"/>
    <n v="0"/>
    <n v="0"/>
    <n v="0"/>
    <n v="0"/>
    <n v="0"/>
    <n v="0"/>
    <n v="0"/>
    <n v="2.0999999999999999E-3"/>
    <n v="98.06"/>
    <n v="54"/>
    <n v="103"/>
    <n v="3856"/>
    <n v="652"/>
    <n v="0"/>
    <n v="98.98"/>
    <m/>
    <n v="0"/>
    <n v="99.04"/>
    <n v="0.11219999999999999"/>
    <n v="5.0999999999999997E-2"/>
    <n v="0.42349999999999999"/>
    <n v="0"/>
    <n v="8"/>
    <n v="34.659999999999997"/>
    <n v="100"/>
  </r>
  <r>
    <x v="14"/>
    <s v="2025-12-19 01:00:00"/>
    <s v="1 hour"/>
    <s v="22"/>
    <s v="BSC_ZTE_Madagascar(22)"/>
    <s v="22"/>
    <s v="BSC_ZTE_Madagascar(22)"/>
    <s v="11651"/>
    <x v="2"/>
    <n v="1"/>
    <n v="0.73"/>
    <n v="9.3699999999999992"/>
    <n v="99.92"/>
    <n v="0.98850000000000005"/>
    <n v="0"/>
    <n v="0.08"/>
    <n v="3.7000000000000002E-3"/>
    <n v="0"/>
    <n v="1"/>
    <n v="0"/>
    <n v="0"/>
    <n v="0"/>
    <n v="0"/>
    <n v="0"/>
    <n v="0"/>
    <n v="2.0999999999999999E-3"/>
    <n v="100"/>
    <n v="50"/>
    <n v="61"/>
    <n v="1263"/>
    <n v="736"/>
    <n v="0"/>
    <n v="100"/>
    <m/>
    <n v="0"/>
    <n v="98.73"/>
    <n v="0"/>
    <n v="0"/>
    <n v="0.21629999999999999"/>
    <n v="0"/>
    <n v="9"/>
    <n v="40.950000000000003"/>
    <n v="100"/>
  </r>
  <r>
    <x v="14"/>
    <s v="2025-12-19 01:00:00"/>
    <s v="1 hour"/>
    <s v="22"/>
    <s v="BSC_ZTE_Madagascar(22)"/>
    <s v="22"/>
    <s v="BSC_ZTE_Madagascar(22)"/>
    <s v="61102"/>
    <x v="3"/>
    <n v="1"/>
    <n v="0.64"/>
    <n v="11.36"/>
    <n v="100"/>
    <n v="0.98340000000000005"/>
    <n v="0"/>
    <n v="0"/>
    <n v="5.0000000000000001E-3"/>
    <n v="0"/>
    <n v="0"/>
    <n v="0"/>
    <n v="0"/>
    <n v="0"/>
    <n v="0"/>
    <n v="0"/>
    <n v="0"/>
    <n v="1.6000000000000001E-3"/>
    <n v="100"/>
    <n v="20"/>
    <n v="26"/>
    <n v="1763"/>
    <n v="658"/>
    <n v="0"/>
    <n v="100"/>
    <m/>
    <n v="0"/>
    <n v="93.16"/>
    <n v="3.6999999999999998E-2"/>
    <n v="0"/>
    <n v="0.33639999999999998"/>
    <n v="0"/>
    <n v="8"/>
    <n v="37.56"/>
    <n v="100"/>
  </r>
  <r>
    <x v="15"/>
    <s v="2025-12-19 02:00:00"/>
    <s v="1 hour"/>
    <s v="22"/>
    <s v="BSC_ZTE_Madagascar(22)"/>
    <s v="22"/>
    <s v="BSC_ZTE_Madagascar(22)"/>
    <s v="11287"/>
    <x v="0"/>
    <n v="1"/>
    <n v="1"/>
    <n v="45.01"/>
    <n v="97.96"/>
    <n v="0.98960000000000004"/>
    <n v="0"/>
    <n v="0"/>
    <n v="5.4000000000000003E-3"/>
    <n v="0"/>
    <n v="0"/>
    <n v="0"/>
    <n v="0"/>
    <n v="0"/>
    <n v="0"/>
    <n v="0"/>
    <n v="0"/>
    <n v="1.9E-3"/>
    <n v="97.96"/>
    <n v="38"/>
    <n v="49"/>
    <n v="1703"/>
    <n v="543"/>
    <n v="0"/>
    <n v="100"/>
    <m/>
    <n v="0"/>
    <n v="95.65"/>
    <n v="0"/>
    <n v="0"/>
    <n v="0.17369999999999999"/>
    <n v="0"/>
    <n v="9"/>
    <n v="40.909999999999997"/>
    <n v="100"/>
  </r>
  <r>
    <x v="15"/>
    <s v="2025-12-19 02:00:00"/>
    <s v="1 hour"/>
    <s v="22"/>
    <s v="BSC_ZTE_Madagascar(22)"/>
    <s v="22"/>
    <s v="BSC_ZTE_Madagascar(22)"/>
    <s v="11405"/>
    <x v="1"/>
    <n v="1"/>
    <n v="1.31"/>
    <n v="53.92"/>
    <n v="95.09"/>
    <n v="0.97889999999999999"/>
    <n v="6.67"/>
    <n v="0.04"/>
    <n v="1.3899999999999999E-2"/>
    <n v="3"/>
    <n v="1"/>
    <n v="0"/>
    <n v="0"/>
    <n v="3"/>
    <n v="0"/>
    <n v="0"/>
    <n v="3"/>
    <n v="3.3E-3"/>
    <n v="95.12"/>
    <n v="23"/>
    <n v="41"/>
    <n v="2718"/>
    <n v="579"/>
    <n v="0"/>
    <n v="99.35"/>
    <n v="0"/>
    <n v="0"/>
    <n v="97.76"/>
    <n v="0.10970000000000001"/>
    <n v="3.2300000000000002E-2"/>
    <n v="0.27389999999999998"/>
    <n v="0"/>
    <n v="8"/>
    <n v="33.57"/>
    <n v="100"/>
  </r>
  <r>
    <x v="15"/>
    <s v="2025-12-19 02:00:00"/>
    <s v="1 hour"/>
    <s v="22"/>
    <s v="BSC_ZTE_Madagascar(22)"/>
    <s v="22"/>
    <s v="BSC_ZTE_Madagascar(22)"/>
    <s v="11651"/>
    <x v="2"/>
    <n v="1"/>
    <n v="0.67"/>
    <n v="3.75"/>
    <n v="100"/>
    <n v="0.98950000000000005"/>
    <n v="0"/>
    <n v="0"/>
    <n v="2E-3"/>
    <n v="0"/>
    <n v="0"/>
    <n v="0"/>
    <n v="0"/>
    <n v="0"/>
    <n v="0"/>
    <n v="0"/>
    <n v="0"/>
    <n v="5.9999999999999995E-4"/>
    <n v="100"/>
    <n v="17"/>
    <n v="21"/>
    <n v="898"/>
    <n v="317"/>
    <n v="0"/>
    <n v="100"/>
    <m/>
    <n v="0"/>
    <n v="99.38"/>
    <n v="0.1053"/>
    <n v="0"/>
    <n v="0.1053"/>
    <n v="0"/>
    <n v="9"/>
    <n v="42.13"/>
    <n v="100"/>
  </r>
  <r>
    <x v="15"/>
    <s v="2025-12-19 02:00:00"/>
    <s v="1 hour"/>
    <s v="22"/>
    <s v="BSC_ZTE_Madagascar(22)"/>
    <s v="22"/>
    <s v="BSC_ZTE_Madagascar(22)"/>
    <s v="61102"/>
    <x v="3"/>
    <n v="1"/>
    <n v="0.28999999999999998"/>
    <n v="6.44"/>
    <n v="100"/>
    <n v="0.98670000000000002"/>
    <n v="0"/>
    <n v="0"/>
    <n v="6.4000000000000003E-3"/>
    <n v="0"/>
    <n v="0"/>
    <n v="0"/>
    <n v="0"/>
    <n v="0"/>
    <n v="0"/>
    <n v="0"/>
    <n v="0"/>
    <n v="1.9E-3"/>
    <n v="100"/>
    <n v="12"/>
    <n v="12"/>
    <n v="1054"/>
    <n v="500"/>
    <n v="0"/>
    <n v="100"/>
    <m/>
    <n v="0"/>
    <n v="99.73"/>
    <n v="3.85E-2"/>
    <n v="0"/>
    <n v="3.0099999999999998E-2"/>
    <n v="0"/>
    <n v="8"/>
    <n v="30.18"/>
    <n v="100"/>
  </r>
  <r>
    <x v="16"/>
    <s v="2025-12-19 03:00:00"/>
    <s v="1 hour"/>
    <s v="22"/>
    <s v="BSC_ZTE_Madagascar(22)"/>
    <s v="22"/>
    <s v="BSC_ZTE_Madagascar(22)"/>
    <s v="11287"/>
    <x v="0"/>
    <n v="1"/>
    <n v="0.34"/>
    <n v="13.41"/>
    <n v="100"/>
    <n v="0.97519999999999996"/>
    <n v="0"/>
    <n v="0"/>
    <n v="9.9000000000000008E-3"/>
    <n v="0"/>
    <n v="0"/>
    <n v="0"/>
    <n v="0"/>
    <n v="0"/>
    <n v="0"/>
    <n v="0"/>
    <n v="0"/>
    <n v="2.8E-3"/>
    <n v="100"/>
    <n v="26"/>
    <n v="28"/>
    <n v="1469"/>
    <n v="498"/>
    <n v="0"/>
    <n v="100"/>
    <m/>
    <n v="0"/>
    <n v="98.71"/>
    <n v="6.0600000000000001E-2"/>
    <n v="0"/>
    <n v="8.9700000000000002E-2"/>
    <n v="0"/>
    <n v="9"/>
    <n v="40.15"/>
    <n v="100"/>
  </r>
  <r>
    <x v="16"/>
    <s v="2025-12-19 03:00:00"/>
    <s v="1 hour"/>
    <s v="22"/>
    <s v="BSC_ZTE_Madagascar(22)"/>
    <s v="22"/>
    <s v="BSC_ZTE_Madagascar(22)"/>
    <s v="11405"/>
    <x v="1"/>
    <n v="1"/>
    <n v="0.06"/>
    <n v="15.78"/>
    <n v="100"/>
    <n v="0.97760000000000002"/>
    <n v="0"/>
    <n v="0"/>
    <n v="1.32E-2"/>
    <n v="0"/>
    <n v="0"/>
    <n v="0"/>
    <n v="0"/>
    <n v="0"/>
    <n v="0"/>
    <n v="0"/>
    <n v="0"/>
    <n v="7.0000000000000001E-3"/>
    <n v="100"/>
    <n v="10"/>
    <n v="11"/>
    <n v="2450"/>
    <n v="499"/>
    <n v="0"/>
    <n v="100"/>
    <m/>
    <n v="0"/>
    <n v="96.62"/>
    <n v="0.16669999999999999"/>
    <n v="0.16669999999999999"/>
    <n v="2.3599999999999999E-2"/>
    <n v="0"/>
    <n v="8"/>
    <n v="34.93"/>
    <n v="100"/>
  </r>
  <r>
    <x v="16"/>
    <s v="2025-12-19 03:00:00"/>
    <s v="1 hour"/>
    <s v="22"/>
    <s v="BSC_ZTE_Madagascar(22)"/>
    <s v="22"/>
    <s v="BSC_ZTE_Madagascar(22)"/>
    <s v="11651"/>
    <x v="2"/>
    <n v="1"/>
    <n v="0.17"/>
    <n v="2.44"/>
    <n v="100"/>
    <n v="0.99219999999999997"/>
    <n v="0"/>
    <n v="0"/>
    <n v="3.5000000000000001E-3"/>
    <n v="0"/>
    <n v="0"/>
    <n v="0"/>
    <n v="0"/>
    <n v="0"/>
    <n v="0"/>
    <n v="0"/>
    <n v="0"/>
    <n v="2.5999999999999999E-3"/>
    <n v="100"/>
    <n v="15"/>
    <n v="17"/>
    <n v="782"/>
    <n v="255"/>
    <n v="0"/>
    <n v="100"/>
    <m/>
    <n v="0"/>
    <n v="100"/>
    <n v="0"/>
    <n v="0"/>
    <n v="8.09E-2"/>
    <n v="0"/>
    <n v="9"/>
    <n v="35.25"/>
    <n v="100"/>
  </r>
  <r>
    <x v="16"/>
    <s v="2025-12-19 03:00:00"/>
    <s v="1 hour"/>
    <s v="22"/>
    <s v="BSC_ZTE_Madagascar(22)"/>
    <s v="22"/>
    <s v="BSC_ZTE_Madagascar(22)"/>
    <s v="61102"/>
    <x v="3"/>
    <n v="1"/>
    <n v="0.05"/>
    <n v="3.55"/>
    <n v="100"/>
    <n v="0.99209999999999998"/>
    <n v="33.33"/>
    <n v="0"/>
    <n v="3.8999999999999998E-3"/>
    <n v="1"/>
    <n v="0"/>
    <n v="0"/>
    <n v="0"/>
    <n v="1"/>
    <n v="0"/>
    <n v="0"/>
    <n v="1"/>
    <n v="3.0999999999999999E-3"/>
    <n v="100"/>
    <n v="2"/>
    <n v="2"/>
    <n v="873"/>
    <n v="499"/>
    <n v="0"/>
    <n v="100"/>
    <n v="0"/>
    <n v="0"/>
    <n v="98.49"/>
    <n v="0.2"/>
    <n v="0"/>
    <n v="0"/>
    <n v="0"/>
    <n v="8"/>
    <n v="32.020000000000003"/>
    <n v="100"/>
  </r>
  <r>
    <x v="17"/>
    <s v="2025-12-19 04:00:00"/>
    <s v="1 hour"/>
    <s v="22"/>
    <s v="BSC_ZTE_Madagascar(22)"/>
    <s v="22"/>
    <s v="BSC_ZTE_Madagascar(22)"/>
    <s v="11287"/>
    <x v="0"/>
    <n v="1"/>
    <n v="0.21"/>
    <n v="13.89"/>
    <n v="100"/>
    <n v="0.97860000000000003"/>
    <n v="0"/>
    <n v="0"/>
    <n v="1.01E-2"/>
    <n v="0"/>
    <n v="0"/>
    <n v="0"/>
    <n v="0"/>
    <n v="0"/>
    <n v="0"/>
    <n v="0"/>
    <n v="0"/>
    <n v="2.7000000000000001E-3"/>
    <n v="100"/>
    <n v="18"/>
    <n v="19"/>
    <n v="1384"/>
    <n v="498"/>
    <n v="0"/>
    <n v="100"/>
    <m/>
    <n v="0"/>
    <n v="99.52"/>
    <n v="0"/>
    <n v="0"/>
    <n v="7.9100000000000004E-2"/>
    <n v="0"/>
    <n v="9"/>
    <n v="45.39"/>
    <n v="100"/>
  </r>
  <r>
    <x v="17"/>
    <s v="2025-12-19 04:00:00"/>
    <s v="1 hour"/>
    <s v="22"/>
    <s v="BSC_ZTE_Madagascar(22)"/>
    <s v="22"/>
    <s v="BSC_ZTE_Madagascar(22)"/>
    <s v="11405"/>
    <x v="1"/>
    <n v="1"/>
    <n v="0.15"/>
    <n v="25.09"/>
    <n v="100"/>
    <n v="0.98260000000000003"/>
    <n v="0"/>
    <n v="0"/>
    <n v="1.3899999999999999E-2"/>
    <n v="0"/>
    <n v="0"/>
    <n v="0"/>
    <n v="0"/>
    <n v="0"/>
    <n v="0"/>
    <n v="0"/>
    <n v="0"/>
    <n v="8.0999999999999996E-3"/>
    <n v="100"/>
    <n v="10"/>
    <n v="12"/>
    <n v="2276"/>
    <n v="499"/>
    <n v="0"/>
    <n v="100"/>
    <m/>
    <n v="0"/>
    <n v="99.5"/>
    <n v="0"/>
    <n v="0"/>
    <n v="0.18479999999999999"/>
    <n v="0"/>
    <n v="8"/>
    <n v="32.99"/>
    <n v="100"/>
  </r>
  <r>
    <x v="17"/>
    <s v="2025-12-19 04:00:00"/>
    <s v="1 hour"/>
    <s v="22"/>
    <s v="BSC_ZTE_Madagascar(22)"/>
    <s v="22"/>
    <s v="BSC_ZTE_Madagascar(22)"/>
    <s v="11651"/>
    <x v="2"/>
    <n v="1"/>
    <n v="0.11"/>
    <n v="2.5099999999999998"/>
    <n v="100"/>
    <n v="0.9909"/>
    <n v="0"/>
    <n v="0"/>
    <n v="1.6000000000000001E-3"/>
    <n v="0"/>
    <n v="0"/>
    <n v="0"/>
    <n v="0"/>
    <n v="0"/>
    <n v="0"/>
    <n v="0"/>
    <n v="0"/>
    <n v="3.7000000000000002E-3"/>
    <n v="100"/>
    <n v="15"/>
    <n v="17"/>
    <n v="744"/>
    <n v="255"/>
    <n v="0"/>
    <n v="100"/>
    <m/>
    <n v="0"/>
    <n v="100"/>
    <n v="0"/>
    <n v="0"/>
    <n v="0.10589999999999999"/>
    <n v="0"/>
    <n v="9"/>
    <n v="34.799999999999997"/>
    <n v="100"/>
  </r>
  <r>
    <x v="17"/>
    <s v="2025-12-19 04:00:00"/>
    <s v="1 hour"/>
    <s v="22"/>
    <s v="BSC_ZTE_Madagascar(22)"/>
    <s v="22"/>
    <s v="BSC_ZTE_Madagascar(22)"/>
    <s v="61102"/>
    <x v="3"/>
    <n v="1"/>
    <n v="0.05"/>
    <n v="2.66"/>
    <n v="100"/>
    <n v="0.99619999999999997"/>
    <n v="0"/>
    <n v="0"/>
    <n v="3.0999999999999999E-3"/>
    <n v="0"/>
    <n v="0"/>
    <n v="0"/>
    <n v="0"/>
    <n v="0"/>
    <n v="0"/>
    <n v="0"/>
    <n v="0"/>
    <n v="3.3E-3"/>
    <n v="100"/>
    <n v="7"/>
    <n v="7"/>
    <n v="799"/>
    <n v="499"/>
    <n v="0"/>
    <n v="100"/>
    <m/>
    <n v="0"/>
    <n v="100"/>
    <n v="0"/>
    <n v="0"/>
    <n v="0"/>
    <n v="0"/>
    <n v="8"/>
    <n v="31.92"/>
    <n v="100"/>
  </r>
  <r>
    <x v="18"/>
    <s v="2025-12-19 05:00:00"/>
    <s v="1 hour"/>
    <s v="22"/>
    <s v="BSC_ZTE_Madagascar(22)"/>
    <s v="22"/>
    <s v="BSC_ZTE_Madagascar(22)"/>
    <s v="11287"/>
    <x v="0"/>
    <n v="1"/>
    <n v="0.69"/>
    <n v="19.420000000000002"/>
    <n v="100"/>
    <n v="0.97889999999999999"/>
    <n v="0"/>
    <n v="0"/>
    <n v="5.5999999999999999E-3"/>
    <n v="0"/>
    <n v="0"/>
    <n v="0"/>
    <n v="0"/>
    <n v="0"/>
    <n v="0"/>
    <n v="0"/>
    <n v="0"/>
    <n v="2.3999999999999998E-3"/>
    <n v="100"/>
    <n v="38"/>
    <n v="58"/>
    <n v="1672"/>
    <n v="498"/>
    <n v="0"/>
    <n v="100"/>
    <m/>
    <n v="0"/>
    <n v="99.66"/>
    <n v="1.6899999999999998E-2"/>
    <n v="0"/>
    <n v="0.2944"/>
    <n v="0"/>
    <n v="9"/>
    <n v="51.07"/>
    <n v="100"/>
  </r>
  <r>
    <x v="18"/>
    <s v="2025-12-19 05:00:00"/>
    <s v="1 hour"/>
    <s v="22"/>
    <s v="BSC_ZTE_Madagascar(22)"/>
    <s v="22"/>
    <s v="BSC_ZTE_Madagascar(22)"/>
    <s v="11405"/>
    <x v="1"/>
    <n v="1"/>
    <n v="0.23"/>
    <n v="15.98"/>
    <n v="100"/>
    <n v="0.98219999999999996"/>
    <n v="0"/>
    <n v="0"/>
    <n v="1.1599999999999999E-2"/>
    <n v="0"/>
    <n v="0"/>
    <n v="0"/>
    <n v="0"/>
    <n v="0"/>
    <n v="0"/>
    <n v="0"/>
    <n v="0"/>
    <n v="3.8999999999999998E-3"/>
    <n v="100"/>
    <n v="30"/>
    <n v="38"/>
    <n v="2668"/>
    <n v="499"/>
    <n v="0"/>
    <n v="100"/>
    <m/>
    <n v="0"/>
    <n v="98.55"/>
    <n v="0"/>
    <n v="0"/>
    <n v="0.24310000000000001"/>
    <n v="0"/>
    <n v="8"/>
    <n v="36.4"/>
    <n v="100"/>
  </r>
  <r>
    <x v="18"/>
    <s v="2025-12-19 05:00:00"/>
    <s v="1 hour"/>
    <s v="22"/>
    <s v="BSC_ZTE_Madagascar(22)"/>
    <s v="22"/>
    <s v="BSC_ZTE_Madagascar(22)"/>
    <s v="11651"/>
    <x v="2"/>
    <n v="1"/>
    <n v="0.5"/>
    <n v="2.56"/>
    <n v="99.89"/>
    <n v="0.99350000000000005"/>
    <n v="0"/>
    <n v="0.11"/>
    <n v="4.1000000000000003E-3"/>
    <n v="0"/>
    <n v="1"/>
    <n v="0"/>
    <n v="0"/>
    <n v="0"/>
    <n v="0"/>
    <n v="0"/>
    <n v="0"/>
    <n v="3.0000000000000001E-3"/>
    <n v="100"/>
    <n v="22"/>
    <n v="25"/>
    <n v="887"/>
    <n v="253"/>
    <n v="0"/>
    <n v="98.65"/>
    <m/>
    <n v="0"/>
    <n v="99.19"/>
    <n v="4.0500000000000001E-2"/>
    <n v="1.35E-2"/>
    <n v="0.12479999999999999"/>
    <n v="0"/>
    <n v="9"/>
    <n v="37.340000000000003"/>
    <n v="100"/>
  </r>
  <r>
    <x v="18"/>
    <s v="2025-12-19 05:00:00"/>
    <s v="1 hour"/>
    <s v="22"/>
    <s v="BSC_ZTE_Madagascar(22)"/>
    <s v="22"/>
    <s v="BSC_ZTE_Madagascar(22)"/>
    <s v="61102"/>
    <x v="3"/>
    <n v="1"/>
    <n v="0.12"/>
    <n v="3.85"/>
    <n v="100"/>
    <n v="0.99609999999999999"/>
    <n v="0"/>
    <n v="0"/>
    <n v="1.6999999999999999E-3"/>
    <n v="0"/>
    <n v="0"/>
    <n v="0"/>
    <n v="0"/>
    <n v="0"/>
    <n v="0"/>
    <n v="0"/>
    <n v="0"/>
    <n v="4.7000000000000002E-3"/>
    <n v="100"/>
    <n v="13"/>
    <n v="13"/>
    <n v="907"/>
    <n v="500"/>
    <n v="0"/>
    <n v="100"/>
    <m/>
    <n v="0"/>
    <n v="92.3"/>
    <n v="0.4"/>
    <n v="0"/>
    <n v="0"/>
    <n v="0"/>
    <n v="8"/>
    <n v="31.31"/>
    <n v="100"/>
  </r>
  <r>
    <x v="19"/>
    <s v="2025-12-19 06:00:00"/>
    <s v="1 hour"/>
    <s v="22"/>
    <s v="BSC_ZTE_Madagascar(22)"/>
    <s v="22"/>
    <s v="BSC_ZTE_Madagascar(22)"/>
    <s v="11287"/>
    <x v="0"/>
    <n v="1"/>
    <n v="1.02"/>
    <n v="13.25"/>
    <n v="100"/>
    <n v="0.96519999999999995"/>
    <n v="0"/>
    <n v="0"/>
    <n v="5.0000000000000001E-3"/>
    <n v="0"/>
    <n v="0"/>
    <n v="0"/>
    <n v="0"/>
    <n v="0"/>
    <n v="0"/>
    <n v="0"/>
    <n v="0"/>
    <n v="2.5999999999999999E-3"/>
    <n v="100"/>
    <n v="53"/>
    <n v="87"/>
    <n v="1714"/>
    <n v="500"/>
    <n v="0"/>
    <n v="99.28"/>
    <m/>
    <n v="0"/>
    <n v="99.36"/>
    <n v="1.44E-2"/>
    <n v="0"/>
    <n v="0.50329999999999997"/>
    <n v="0"/>
    <n v="9"/>
    <n v="46.15"/>
    <n v="100"/>
  </r>
  <r>
    <x v="19"/>
    <s v="2025-12-19 06:00:00"/>
    <s v="1 hour"/>
    <s v="22"/>
    <s v="BSC_ZTE_Madagascar(22)"/>
    <s v="22"/>
    <s v="BSC_ZTE_Madagascar(22)"/>
    <s v="11405"/>
    <x v="1"/>
    <n v="1"/>
    <n v="1.24"/>
    <n v="19.03"/>
    <n v="100"/>
    <n v="0.9778"/>
    <n v="0"/>
    <n v="0"/>
    <n v="1.17E-2"/>
    <n v="0"/>
    <n v="0"/>
    <n v="0"/>
    <n v="0"/>
    <n v="0"/>
    <n v="0"/>
    <n v="0"/>
    <n v="0"/>
    <n v="1.6999999999999999E-3"/>
    <n v="100"/>
    <n v="34"/>
    <n v="72"/>
    <n v="2405"/>
    <n v="498"/>
    <n v="0"/>
    <n v="100"/>
    <m/>
    <n v="0"/>
    <n v="99.31"/>
    <n v="4.5499999999999999E-2"/>
    <n v="0"/>
    <n v="0.52780000000000005"/>
    <n v="0"/>
    <n v="8"/>
    <n v="32.64"/>
    <n v="100"/>
  </r>
  <r>
    <x v="19"/>
    <s v="2025-12-19 06:00:00"/>
    <s v="1 hour"/>
    <s v="22"/>
    <s v="BSC_ZTE_Madagascar(22)"/>
    <s v="22"/>
    <s v="BSC_ZTE_Madagascar(22)"/>
    <s v="11651"/>
    <x v="2"/>
    <n v="1"/>
    <n v="0.69"/>
    <n v="3.24"/>
    <n v="100"/>
    <n v="0.98670000000000002"/>
    <n v="1.56"/>
    <n v="0"/>
    <n v="2.5999999999999999E-3"/>
    <n v="1"/>
    <n v="0"/>
    <n v="0"/>
    <n v="0"/>
    <n v="1"/>
    <n v="0"/>
    <n v="0"/>
    <n v="1"/>
    <n v="3.3999999999999998E-3"/>
    <n v="100"/>
    <n v="44"/>
    <n v="57"/>
    <n v="1172"/>
    <n v="254"/>
    <n v="0"/>
    <n v="98.68"/>
    <n v="0"/>
    <n v="0"/>
    <n v="98.39"/>
    <n v="0"/>
    <n v="0"/>
    <n v="0.2591"/>
    <n v="0"/>
    <n v="9"/>
    <n v="36.58"/>
    <n v="100"/>
  </r>
  <r>
    <x v="19"/>
    <s v="2025-12-19 06:00:00"/>
    <s v="1 hour"/>
    <s v="22"/>
    <s v="BSC_ZTE_Madagascar(22)"/>
    <s v="22"/>
    <s v="BSC_ZTE_Madagascar(22)"/>
    <s v="61102"/>
    <x v="3"/>
    <n v="1"/>
    <n v="7.0000000000000007E-2"/>
    <n v="2.84"/>
    <n v="100"/>
    <n v="0.99219999999999997"/>
    <n v="0"/>
    <n v="0"/>
    <n v="3.7000000000000002E-3"/>
    <n v="0"/>
    <n v="0"/>
    <n v="0"/>
    <n v="0"/>
    <n v="0"/>
    <n v="0"/>
    <n v="0"/>
    <n v="0"/>
    <n v="3.0999999999999999E-3"/>
    <n v="100"/>
    <n v="8"/>
    <n v="8"/>
    <n v="1134"/>
    <n v="499"/>
    <n v="0"/>
    <n v="88.89"/>
    <m/>
    <n v="0"/>
    <n v="96.76"/>
    <n v="0.22220000000000001"/>
    <n v="0"/>
    <n v="2.47E-2"/>
    <n v="0"/>
    <n v="8"/>
    <n v="31.83"/>
    <n v="100"/>
  </r>
  <r>
    <x v="20"/>
    <s v="2025-12-19 07:00:00"/>
    <s v="1 hour"/>
    <s v="22"/>
    <s v="BSC_ZTE_Madagascar(22)"/>
    <s v="22"/>
    <s v="BSC_ZTE_Madagascar(22)"/>
    <s v="11287"/>
    <x v="0"/>
    <n v="1"/>
    <n v="5.74"/>
    <n v="19.59"/>
    <n v="99.6"/>
    <n v="0.96819999999999995"/>
    <n v="0"/>
    <n v="0.05"/>
    <n v="6.4999999999999997E-3"/>
    <n v="0"/>
    <n v="1"/>
    <n v="0"/>
    <n v="0"/>
    <n v="0"/>
    <n v="0"/>
    <n v="0"/>
    <n v="0"/>
    <n v="1.9E-3"/>
    <n v="99.64"/>
    <n v="48"/>
    <n v="280"/>
    <n v="2339"/>
    <n v="497"/>
    <n v="0"/>
    <n v="99.55"/>
    <m/>
    <n v="0"/>
    <n v="98.2"/>
    <n v="4.19E-2"/>
    <n v="1.0500000000000001E-2"/>
    <n v="0.88719999999999999"/>
    <n v="0"/>
    <n v="9"/>
    <n v="38.83"/>
    <n v="100"/>
  </r>
  <r>
    <x v="20"/>
    <s v="2025-12-19 07:00:00"/>
    <s v="1 hour"/>
    <s v="22"/>
    <s v="BSC_ZTE_Madagascar(22)"/>
    <s v="22"/>
    <s v="BSC_ZTE_Madagascar(22)"/>
    <s v="11405"/>
    <x v="1"/>
    <n v="1"/>
    <n v="4.8"/>
    <n v="51.6"/>
    <n v="99.26"/>
    <n v="0.97519999999999996"/>
    <n v="0.4"/>
    <n v="0"/>
    <n v="1.52E-2"/>
    <n v="1"/>
    <n v="0"/>
    <n v="0"/>
    <n v="0"/>
    <n v="1"/>
    <n v="0"/>
    <n v="0"/>
    <n v="1"/>
    <n v="2.2000000000000001E-3"/>
    <n v="99.26"/>
    <n v="51"/>
    <n v="271"/>
    <n v="3469"/>
    <n v="499"/>
    <n v="0"/>
    <n v="98.65"/>
    <n v="0"/>
    <n v="0"/>
    <n v="97.84"/>
    <n v="0.11070000000000001"/>
    <n v="2.01E-2"/>
    <n v="0.81069999999999998"/>
    <n v="0"/>
    <n v="8"/>
    <n v="34.65"/>
    <n v="100"/>
  </r>
  <r>
    <x v="20"/>
    <s v="2025-12-19 07:00:00"/>
    <s v="1 hour"/>
    <s v="22"/>
    <s v="BSC_ZTE_Madagascar(22)"/>
    <s v="22"/>
    <s v="BSC_ZTE_Madagascar(22)"/>
    <s v="11651"/>
    <x v="2"/>
    <n v="1"/>
    <n v="4.45"/>
    <n v="8.14"/>
    <n v="100"/>
    <n v="0.98470000000000002"/>
    <n v="0.36"/>
    <n v="0"/>
    <n v="1.2E-2"/>
    <n v="1"/>
    <n v="0"/>
    <n v="0"/>
    <n v="0"/>
    <n v="1"/>
    <n v="0"/>
    <n v="0"/>
    <n v="1"/>
    <n v="1.8E-3"/>
    <n v="100"/>
    <n v="52"/>
    <n v="258"/>
    <n v="2018"/>
    <n v="280"/>
    <n v="0"/>
    <n v="98.11"/>
    <n v="0"/>
    <n v="0"/>
    <n v="98.8"/>
    <n v="4.87E-2"/>
    <n v="1.4999999999999999E-2"/>
    <n v="0.80579999999999996"/>
    <n v="0"/>
    <n v="9"/>
    <n v="37.25"/>
    <n v="100"/>
  </r>
  <r>
    <x v="20"/>
    <s v="2025-12-19 07:00:00"/>
    <s v="1 hour"/>
    <s v="22"/>
    <s v="BSC_ZTE_Madagascar(22)"/>
    <s v="22"/>
    <s v="BSC_ZTE_Madagascar(22)"/>
    <s v="61102"/>
    <x v="3"/>
    <n v="1"/>
    <n v="1.1200000000000001"/>
    <n v="4.88"/>
    <n v="100"/>
    <n v="0.98129999999999995"/>
    <n v="1.25"/>
    <n v="0"/>
    <n v="3.7000000000000002E-3"/>
    <n v="1"/>
    <n v="0"/>
    <n v="0"/>
    <n v="0"/>
    <n v="1"/>
    <n v="0"/>
    <n v="0"/>
    <n v="1"/>
    <n v="3.2000000000000002E-3"/>
    <n v="100"/>
    <n v="46"/>
    <n v="73"/>
    <n v="2115"/>
    <n v="500"/>
    <n v="0"/>
    <n v="100"/>
    <n v="0"/>
    <n v="0"/>
    <n v="97.1"/>
    <n v="0.1119"/>
    <n v="7.0000000000000001E-3"/>
    <n v="0.317"/>
    <n v="0"/>
    <n v="8"/>
    <n v="31.11"/>
    <n v="100"/>
  </r>
  <r>
    <x v="21"/>
    <s v="2025-12-19 08:00:00"/>
    <s v="1 hour"/>
    <s v="22"/>
    <s v="BSC_ZTE_Madagascar(22)"/>
    <s v="22"/>
    <s v="BSC_ZTE_Madagascar(22)"/>
    <s v="11287"/>
    <x v="0"/>
    <n v="1"/>
    <n v="9.41"/>
    <n v="59.46"/>
    <n v="99.83"/>
    <n v="0.97499999999999998"/>
    <n v="0"/>
    <n v="0"/>
    <n v="8.8000000000000005E-3"/>
    <n v="1"/>
    <n v="0"/>
    <n v="0"/>
    <n v="0"/>
    <n v="1"/>
    <n v="0"/>
    <n v="0"/>
    <n v="1"/>
    <n v="2.7000000000000001E-3"/>
    <n v="99.83"/>
    <n v="31"/>
    <n v="592"/>
    <n v="3792"/>
    <n v="736"/>
    <n v="0"/>
    <n v="99.03"/>
    <n v="0"/>
    <n v="0"/>
    <n v="98.19"/>
    <n v="4.82E-2"/>
    <n v="2.2499999999999999E-2"/>
    <n v="0.9466"/>
    <n v="0"/>
    <n v="9"/>
    <n v="42.03"/>
    <n v="100"/>
  </r>
  <r>
    <x v="21"/>
    <s v="2025-12-19 08:00:00"/>
    <s v="1 hour"/>
    <s v="22"/>
    <s v="BSC_ZTE_Madagascar(22)"/>
    <s v="22"/>
    <s v="BSC_ZTE_Madagascar(22)"/>
    <s v="11405"/>
    <x v="1"/>
    <n v="1"/>
    <n v="8.49"/>
    <n v="148.16999999999999"/>
    <n v="99.82"/>
    <n v="0.97319999999999995"/>
    <n v="0.19"/>
    <n v="0"/>
    <n v="1.46E-2"/>
    <n v="2"/>
    <n v="0"/>
    <n v="0"/>
    <n v="0"/>
    <n v="2"/>
    <n v="0"/>
    <n v="0"/>
    <n v="2"/>
    <n v="2.8E-3"/>
    <n v="99.82"/>
    <n v="41"/>
    <n v="544"/>
    <n v="4784"/>
    <n v="647"/>
    <n v="0"/>
    <n v="96.04"/>
    <n v="0"/>
    <n v="0"/>
    <n v="95.12"/>
    <n v="0.15590000000000001"/>
    <n v="1.61E-2"/>
    <n v="0.93049999999999999"/>
    <n v="0"/>
    <n v="8"/>
    <n v="34.29"/>
    <n v="100"/>
  </r>
  <r>
    <x v="21"/>
    <s v="2025-12-19 08:00:00"/>
    <s v="1 hour"/>
    <s v="22"/>
    <s v="BSC_ZTE_Madagascar(22)"/>
    <s v="22"/>
    <s v="BSC_ZTE_Madagascar(22)"/>
    <s v="11651"/>
    <x v="2"/>
    <n v="0.94579999999999997"/>
    <n v="7.39"/>
    <n v="34.659999999999997"/>
    <n v="99.32"/>
    <n v="0.97840000000000005"/>
    <n v="0.44"/>
    <n v="0"/>
    <n v="9.7999999999999997E-3"/>
    <n v="3"/>
    <n v="0"/>
    <n v="0"/>
    <n v="0"/>
    <n v="3"/>
    <n v="0"/>
    <n v="0"/>
    <n v="3"/>
    <n v="2.3E-3"/>
    <n v="99.32"/>
    <n v="38"/>
    <n v="438"/>
    <n v="3436"/>
    <n v="668"/>
    <n v="0"/>
    <n v="96.74"/>
    <n v="0"/>
    <n v="0"/>
    <n v="98.15"/>
    <n v="7.4300000000000005E-2"/>
    <n v="1.8599999999999998E-2"/>
    <n v="0.90769999999999995"/>
    <n v="694"/>
    <n v="9"/>
    <n v="42.62"/>
    <n v="94.58"/>
  </r>
  <r>
    <x v="21"/>
    <s v="2025-12-19 08:00:00"/>
    <s v="1 hour"/>
    <s v="22"/>
    <s v="BSC_ZTE_Madagascar(22)"/>
    <s v="22"/>
    <s v="BSC_ZTE_Madagascar(22)"/>
    <s v="61102"/>
    <x v="3"/>
    <n v="1"/>
    <n v="3.89"/>
    <n v="15.88"/>
    <n v="99.91"/>
    <n v="0.97670000000000001"/>
    <n v="1.4"/>
    <n v="0.09"/>
    <n v="6.1000000000000004E-3"/>
    <n v="3"/>
    <n v="3"/>
    <n v="0"/>
    <n v="0"/>
    <n v="1"/>
    <n v="2"/>
    <n v="0"/>
    <n v="1"/>
    <n v="2.7000000000000001E-3"/>
    <n v="100"/>
    <n v="55"/>
    <n v="200"/>
    <n v="3522"/>
    <n v="660"/>
    <n v="0"/>
    <n v="97.58"/>
    <n v="0.66669999999999996"/>
    <n v="0"/>
    <n v="94.93"/>
    <n v="0.12559999999999999"/>
    <n v="7.1999999999999998E-3"/>
    <n v="0.74909999999999999"/>
    <n v="0"/>
    <n v="8"/>
    <n v="32.44"/>
    <n v="100"/>
  </r>
  <r>
    <x v="22"/>
    <s v="2025-12-19 09:00:00"/>
    <s v="1 hour"/>
    <s v="22"/>
    <s v="BSC_ZTE_Madagascar(22)"/>
    <s v="22"/>
    <s v="BSC_ZTE_Madagascar(22)"/>
    <s v="11287"/>
    <x v="0"/>
    <n v="1"/>
    <n v="12.71"/>
    <n v="85.07"/>
    <n v="99.98"/>
    <n v="0.9829"/>
    <n v="0"/>
    <n v="0.02"/>
    <n v="6.7000000000000002E-3"/>
    <n v="1"/>
    <n v="1"/>
    <n v="0"/>
    <n v="0"/>
    <n v="1"/>
    <n v="0"/>
    <n v="0"/>
    <n v="1"/>
    <n v="2.5999999999999999E-3"/>
    <n v="100"/>
    <n v="9"/>
    <n v="791"/>
    <n v="4626"/>
    <n v="737"/>
    <n v="0"/>
    <n v="98.64"/>
    <n v="0"/>
    <n v="0"/>
    <n v="97.64"/>
    <n v="4.7800000000000002E-2"/>
    <n v="2.1399999999999999E-2"/>
    <n v="0.96240000000000003"/>
    <n v="0"/>
    <n v="9"/>
    <n v="41.12"/>
    <n v="100"/>
  </r>
  <r>
    <x v="22"/>
    <s v="2025-12-19 09:00:00"/>
    <s v="1 hour"/>
    <s v="22"/>
    <s v="BSC_ZTE_Madagascar(22)"/>
    <s v="22"/>
    <s v="BSC_ZTE_Madagascar(22)"/>
    <s v="11405"/>
    <x v="1"/>
    <n v="1"/>
    <n v="11.96"/>
    <n v="137.99"/>
    <n v="100"/>
    <n v="0.97019999999999995"/>
    <n v="0.16"/>
    <n v="0"/>
    <n v="1.3299999999999999E-2"/>
    <n v="1"/>
    <n v="0"/>
    <n v="0"/>
    <n v="0"/>
    <n v="1"/>
    <n v="0"/>
    <n v="0"/>
    <n v="1"/>
    <n v="2.3999999999999998E-3"/>
    <n v="100"/>
    <n v="23"/>
    <n v="609"/>
    <n v="5017"/>
    <n v="655"/>
    <n v="0"/>
    <n v="97.63"/>
    <n v="0"/>
    <n v="0"/>
    <n v="95.78"/>
    <n v="0.18090000000000001"/>
    <n v="1.5699999999999999E-2"/>
    <n v="0.90429999999999999"/>
    <n v="0"/>
    <n v="8"/>
    <n v="35.729999999999997"/>
    <n v="100"/>
  </r>
  <r>
    <x v="22"/>
    <s v="2025-12-19 09:00:00"/>
    <s v="1 hour"/>
    <s v="22"/>
    <s v="BSC_ZTE_Madagascar(22)"/>
    <s v="22"/>
    <s v="BSC_ZTE_Madagascar(22)"/>
    <s v="11651"/>
    <x v="2"/>
    <n v="1"/>
    <n v="9.7100000000000009"/>
    <n v="41.94"/>
    <n v="99.62"/>
    <n v="0.9768"/>
    <n v="0"/>
    <n v="0.03"/>
    <n v="9.7999999999999997E-3"/>
    <n v="0"/>
    <n v="1"/>
    <n v="0"/>
    <n v="0"/>
    <n v="0"/>
    <n v="0"/>
    <n v="0"/>
    <n v="0"/>
    <n v="2.5999999999999999E-3"/>
    <n v="99.65"/>
    <n v="42"/>
    <n v="564"/>
    <n v="3691"/>
    <n v="737"/>
    <n v="0"/>
    <n v="93.66"/>
    <m/>
    <n v="0"/>
    <n v="97.3"/>
    <n v="9.69E-2"/>
    <n v="3.09E-2"/>
    <n v="0.92849999999999999"/>
    <n v="0"/>
    <n v="9"/>
    <n v="41.96"/>
    <n v="100"/>
  </r>
  <r>
    <x v="22"/>
    <s v="2025-12-19 09:00:00"/>
    <s v="1 hour"/>
    <s v="22"/>
    <s v="BSC_ZTE_Madagascar(22)"/>
    <s v="22"/>
    <s v="BSC_ZTE_Madagascar(22)"/>
    <s v="61102"/>
    <x v="3"/>
    <n v="1"/>
    <n v="4.47"/>
    <n v="35.39"/>
    <n v="100"/>
    <n v="0.97430000000000005"/>
    <n v="0.31"/>
    <n v="0"/>
    <n v="6.4999999999999997E-3"/>
    <n v="1"/>
    <n v="0"/>
    <n v="0"/>
    <n v="0"/>
    <n v="1"/>
    <n v="0"/>
    <n v="0"/>
    <n v="1"/>
    <n v="3.0999999999999999E-3"/>
    <n v="100"/>
    <n v="63"/>
    <n v="300"/>
    <n v="3911"/>
    <n v="658"/>
    <n v="0"/>
    <n v="96.21"/>
    <n v="0"/>
    <n v="0"/>
    <n v="94.78"/>
    <n v="0.13170000000000001"/>
    <n v="4.4999999999999997E-3"/>
    <n v="0.76070000000000004"/>
    <n v="0"/>
    <n v="8"/>
    <n v="39.17"/>
    <n v="100"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5CE7FE-C138-4AEA-AE9C-D9BDE40D3748}" name="PivotTable1" cacheId="4" dataOnRows="1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>
  <location ref="A3:K32" firstHeaderRow="1" firstDataRow="2" firstDataCol="1"/>
  <pivotFields count="43">
    <pivotField axis="axisCol" showAll="0">
      <items count="80">
        <item h="1" m="1" x="42"/>
        <item h="1" m="1" x="36"/>
        <item h="1" m="1" x="39"/>
        <item h="1" m="1" x="33"/>
        <item h="1" m="1" x="30"/>
        <item h="1" m="1" x="27"/>
        <item h="1" m="1" x="24"/>
        <item h="1" m="1" x="77"/>
        <item h="1" m="1" x="75"/>
        <item h="1" m="1" x="73"/>
        <item h="1" m="1" x="71"/>
        <item h="1" m="1" x="67"/>
        <item h="1" m="1" x="69"/>
        <item h="1" m="1" x="65"/>
        <item h="1" m="1" x="63"/>
        <item h="1" m="1" x="61"/>
        <item h="1" m="1" x="59"/>
        <item h="1" m="1" x="57"/>
        <item h="1" m="1" x="55"/>
        <item h="1" m="1" x="53"/>
        <item h="1" m="1" x="51"/>
        <item h="1" m="1" x="49"/>
        <item h="1" m="1" x="47"/>
        <item h="1" m="1" x="45"/>
        <item h="1" m="1" x="43"/>
        <item h="1" m="1" x="37"/>
        <item h="1" m="1" x="40"/>
        <item h="1" m="1" x="34"/>
        <item h="1" m="1" x="31"/>
        <item h="1" m="1" x="28"/>
        <item h="1" m="1" x="25"/>
        <item h="1" m="1" x="78"/>
        <item h="1" m="1" x="76"/>
        <item h="1" m="1" x="74"/>
        <item h="1" m="1" x="72"/>
        <item h="1" m="1" x="68"/>
        <item h="1" m="1" x="70"/>
        <item h="1" m="1" x="66"/>
        <item h="1" m="1" x="64"/>
        <item h="1" m="1" x="62"/>
        <item h="1" m="1" x="60"/>
        <item h="1" m="1" x="58"/>
        <item h="1" m="1" x="56"/>
        <item h="1" m="1" x="54"/>
        <item h="1" m="1" x="52"/>
        <item h="1" m="1" x="50"/>
        <item h="1" m="1" x="48"/>
        <item h="1" m="1" x="46"/>
        <item h="1" m="1" x="44"/>
        <item h="1" m="1" x="38"/>
        <item h="1" m="1" x="41"/>
        <item h="1" m="1" x="35"/>
        <item h="1" m="1" x="32"/>
        <item h="1" m="1" x="29"/>
        <item h="1" m="1" x="26"/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x="13"/>
        <item x="14"/>
        <item x="15"/>
        <item x="16"/>
        <item x="17"/>
        <item x="18"/>
        <item x="19"/>
        <item x="20"/>
        <item x="21"/>
        <item x="22"/>
        <item h="1" x="2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m="1" x="5"/>
        <item m="1" x="9"/>
        <item m="1" x="7"/>
        <item m="1" x="8"/>
        <item m="1" x="6"/>
        <item x="0"/>
        <item x="1"/>
        <item x="2"/>
        <item x="3"/>
        <item x="4"/>
        <item t="default"/>
      </items>
    </pivotField>
    <pivotField showAll="0"/>
    <pivotField dataField="1"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2">
    <field x="8"/>
    <field x="-2"/>
  </rowFields>
  <rowItems count="28">
    <i>
      <x v="5"/>
    </i>
    <i r="1">
      <x/>
    </i>
    <i r="1" i="1">
      <x v="1"/>
    </i>
    <i r="1" i="2">
      <x v="2"/>
    </i>
    <i r="1" i="3">
      <x v="3"/>
    </i>
    <i r="1" i="4">
      <x v="4"/>
    </i>
    <i r="1" i="5">
      <x v="5"/>
    </i>
    <i>
      <x v="6"/>
    </i>
    <i r="1">
      <x/>
    </i>
    <i r="1" i="1">
      <x v="1"/>
    </i>
    <i r="1" i="2">
      <x v="2"/>
    </i>
    <i r="1" i="3">
      <x v="3"/>
    </i>
    <i r="1" i="4">
      <x v="4"/>
    </i>
    <i r="1" i="5">
      <x v="5"/>
    </i>
    <i>
      <x v="7"/>
    </i>
    <i r="1">
      <x/>
    </i>
    <i r="1" i="1">
      <x v="1"/>
    </i>
    <i r="1" i="2">
      <x v="2"/>
    </i>
    <i r="1" i="3">
      <x v="3"/>
    </i>
    <i r="1" i="4">
      <x v="4"/>
    </i>
    <i r="1" i="5">
      <x v="5"/>
    </i>
    <i>
      <x v="8"/>
    </i>
    <i r="1">
      <x/>
    </i>
    <i r="1" i="1">
      <x v="1"/>
    </i>
    <i r="1" i="2">
      <x v="2"/>
    </i>
    <i r="1" i="3">
      <x v="3"/>
    </i>
    <i r="1" i="4">
      <x v="4"/>
    </i>
    <i r="1" i="5">
      <x v="5"/>
    </i>
  </rowItems>
  <colFields count="1">
    <field x="0"/>
  </colFields>
  <colItems count="10"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</colItems>
  <dataFields count="6">
    <dataField name="Average of ORA_2G_TCH Availability(%)" fld="42" subtotal="average" baseField="8" baseItem="0"/>
    <dataField name="Average of ORA_2G_CSSR_CS_New(%)" fld="12" subtotal="average" baseField="8" baseItem="2"/>
    <dataField name="Average of ORA_2G_Call_Drop_CS_New(%)" fld="14" subtotal="average" baseField="8" baseItem="2"/>
    <dataField name="Sum of ORA_2G_CS_TRAFFIC" fld="10" baseField="8" baseItem="2"/>
    <dataField name="Average of ORA_2G_SDCCH_Blocking_New(%)" fld="20" subtotal="average" baseField="8" baseItem="2"/>
    <dataField name="Average of ORA_2G_TCH_Blocking_Rate_New(%)" fld="19" subtotal="average" baseField="8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6F85F-FB6A-4DE9-9EAE-F245556F68E7}">
  <dimension ref="A3:K32"/>
  <sheetViews>
    <sheetView workbookViewId="0">
      <selection activeCell="A4" sqref="A4:K32"/>
    </sheetView>
  </sheetViews>
  <sheetFormatPr defaultRowHeight="15" x14ac:dyDescent="0.25"/>
  <cols>
    <col min="1" max="1" width="49.140625" bestFit="1" customWidth="1"/>
    <col min="2" max="25" width="18.28515625" bestFit="1" customWidth="1"/>
    <col min="26" max="26" width="7.28515625" bestFit="1" customWidth="1"/>
    <col min="27" max="27" width="11.28515625" bestFit="1" customWidth="1"/>
    <col min="28" max="28" width="36.5703125" bestFit="1" customWidth="1"/>
    <col min="29" max="29" width="26.7109375" bestFit="1" customWidth="1"/>
    <col min="30" max="30" width="41.85546875" bestFit="1" customWidth="1"/>
    <col min="31" max="31" width="39.28515625" bestFit="1" customWidth="1"/>
    <col min="32" max="32" width="42.42578125" bestFit="1" customWidth="1"/>
    <col min="33" max="33" width="32.140625" bestFit="1" customWidth="1"/>
    <col min="34" max="34" width="36.5703125" bestFit="1" customWidth="1"/>
    <col min="35" max="35" width="26.7109375" bestFit="1" customWidth="1"/>
    <col min="36" max="36" width="41.85546875" bestFit="1" customWidth="1"/>
    <col min="37" max="37" width="39.28515625" bestFit="1" customWidth="1"/>
    <col min="38" max="38" width="42.42578125" bestFit="1" customWidth="1"/>
    <col min="39" max="39" width="32.140625" bestFit="1" customWidth="1"/>
    <col min="40" max="40" width="36.5703125" bestFit="1" customWidth="1"/>
    <col min="41" max="41" width="26.7109375" bestFit="1" customWidth="1"/>
    <col min="42" max="42" width="41.85546875" bestFit="1" customWidth="1"/>
    <col min="43" max="43" width="39.28515625" bestFit="1" customWidth="1"/>
    <col min="44" max="44" width="42.42578125" bestFit="1" customWidth="1"/>
    <col min="45" max="45" width="32.140625" bestFit="1" customWidth="1"/>
    <col min="46" max="46" width="36.5703125" bestFit="1" customWidth="1"/>
    <col min="47" max="47" width="26.7109375" bestFit="1" customWidth="1"/>
    <col min="48" max="48" width="41.85546875" bestFit="1" customWidth="1"/>
    <col min="49" max="49" width="39.28515625" bestFit="1" customWidth="1"/>
    <col min="50" max="50" width="42.42578125" bestFit="1" customWidth="1"/>
    <col min="51" max="51" width="32.140625" bestFit="1" customWidth="1"/>
    <col min="52" max="52" width="36.5703125" bestFit="1" customWidth="1"/>
    <col min="53" max="53" width="26.7109375" bestFit="1" customWidth="1"/>
    <col min="54" max="54" width="41.85546875" bestFit="1" customWidth="1"/>
    <col min="55" max="55" width="39.28515625" bestFit="1" customWidth="1"/>
    <col min="56" max="56" width="42.42578125" bestFit="1" customWidth="1"/>
    <col min="57" max="57" width="32.140625" bestFit="1" customWidth="1"/>
    <col min="58" max="58" width="36.5703125" bestFit="1" customWidth="1"/>
    <col min="59" max="59" width="26.7109375" bestFit="1" customWidth="1"/>
    <col min="60" max="60" width="41.85546875" bestFit="1" customWidth="1"/>
    <col min="61" max="61" width="39.28515625" bestFit="1" customWidth="1"/>
    <col min="62" max="62" width="42.42578125" bestFit="1" customWidth="1"/>
    <col min="63" max="63" width="32.140625" bestFit="1" customWidth="1"/>
    <col min="64" max="64" width="36.5703125" bestFit="1" customWidth="1"/>
    <col min="65" max="65" width="26.7109375" bestFit="1" customWidth="1"/>
    <col min="66" max="66" width="41.85546875" bestFit="1" customWidth="1"/>
    <col min="67" max="67" width="39.28515625" bestFit="1" customWidth="1"/>
    <col min="68" max="68" width="42.42578125" bestFit="1" customWidth="1"/>
    <col min="69" max="69" width="32.140625" bestFit="1" customWidth="1"/>
    <col min="70" max="70" width="36.5703125" bestFit="1" customWidth="1"/>
    <col min="71" max="71" width="26.7109375" bestFit="1" customWidth="1"/>
    <col min="72" max="72" width="41.85546875" bestFit="1" customWidth="1"/>
    <col min="73" max="73" width="39.28515625" bestFit="1" customWidth="1"/>
    <col min="74" max="74" width="42.42578125" bestFit="1" customWidth="1"/>
    <col min="75" max="75" width="32.140625" bestFit="1" customWidth="1"/>
    <col min="76" max="76" width="36.5703125" bestFit="1" customWidth="1"/>
    <col min="77" max="77" width="26.7109375" bestFit="1" customWidth="1"/>
    <col min="78" max="78" width="41.85546875" bestFit="1" customWidth="1"/>
    <col min="79" max="79" width="39.28515625" bestFit="1" customWidth="1"/>
    <col min="80" max="80" width="42.42578125" bestFit="1" customWidth="1"/>
    <col min="81" max="81" width="32.140625" bestFit="1" customWidth="1"/>
    <col min="82" max="82" width="36.5703125" bestFit="1" customWidth="1"/>
    <col min="83" max="83" width="26.7109375" bestFit="1" customWidth="1"/>
    <col min="84" max="84" width="41.85546875" bestFit="1" customWidth="1"/>
    <col min="85" max="85" width="39.28515625" bestFit="1" customWidth="1"/>
    <col min="86" max="86" width="42.42578125" bestFit="1" customWidth="1"/>
    <col min="87" max="87" width="32.140625" bestFit="1" customWidth="1"/>
    <col min="88" max="88" width="36.5703125" bestFit="1" customWidth="1"/>
    <col min="89" max="89" width="26.7109375" bestFit="1" customWidth="1"/>
    <col min="90" max="90" width="41.85546875" bestFit="1" customWidth="1"/>
    <col min="91" max="91" width="39.28515625" bestFit="1" customWidth="1"/>
    <col min="92" max="92" width="42.42578125" bestFit="1" customWidth="1"/>
    <col min="93" max="93" width="32.140625" bestFit="1" customWidth="1"/>
    <col min="94" max="94" width="36.5703125" bestFit="1" customWidth="1"/>
    <col min="95" max="95" width="26.7109375" bestFit="1" customWidth="1"/>
    <col min="96" max="96" width="41.85546875" bestFit="1" customWidth="1"/>
    <col min="97" max="97" width="39.28515625" bestFit="1" customWidth="1"/>
    <col min="98" max="98" width="42.42578125" bestFit="1" customWidth="1"/>
    <col min="99" max="99" width="32.140625" bestFit="1" customWidth="1"/>
    <col min="100" max="100" width="36.5703125" bestFit="1" customWidth="1"/>
    <col min="101" max="101" width="26.7109375" bestFit="1" customWidth="1"/>
    <col min="102" max="102" width="41.85546875" bestFit="1" customWidth="1"/>
    <col min="103" max="103" width="39.28515625" bestFit="1" customWidth="1"/>
    <col min="104" max="104" width="42.42578125" bestFit="1" customWidth="1"/>
    <col min="105" max="105" width="32.140625" bestFit="1" customWidth="1"/>
    <col min="106" max="106" width="36.5703125" bestFit="1" customWidth="1"/>
    <col min="107" max="107" width="26.7109375" bestFit="1" customWidth="1"/>
    <col min="108" max="108" width="41.85546875" bestFit="1" customWidth="1"/>
    <col min="109" max="109" width="39.28515625" bestFit="1" customWidth="1"/>
    <col min="110" max="110" width="42.42578125" bestFit="1" customWidth="1"/>
    <col min="111" max="111" width="32.140625" bestFit="1" customWidth="1"/>
    <col min="112" max="112" width="36.5703125" bestFit="1" customWidth="1"/>
    <col min="113" max="113" width="26.7109375" bestFit="1" customWidth="1"/>
    <col min="114" max="114" width="41.85546875" bestFit="1" customWidth="1"/>
    <col min="115" max="115" width="39.28515625" bestFit="1" customWidth="1"/>
    <col min="116" max="116" width="42.42578125" bestFit="1" customWidth="1"/>
    <col min="117" max="117" width="32.140625" bestFit="1" customWidth="1"/>
    <col min="118" max="118" width="36.5703125" bestFit="1" customWidth="1"/>
    <col min="119" max="119" width="26.7109375" bestFit="1" customWidth="1"/>
    <col min="120" max="120" width="41.85546875" bestFit="1" customWidth="1"/>
    <col min="121" max="121" width="39.28515625" bestFit="1" customWidth="1"/>
    <col min="122" max="122" width="42.42578125" bestFit="1" customWidth="1"/>
    <col min="123" max="123" width="32.140625" bestFit="1" customWidth="1"/>
    <col min="124" max="124" width="36.5703125" bestFit="1" customWidth="1"/>
    <col min="125" max="125" width="26.7109375" bestFit="1" customWidth="1"/>
    <col min="126" max="126" width="41.85546875" bestFit="1" customWidth="1"/>
    <col min="127" max="127" width="39.28515625" bestFit="1" customWidth="1"/>
    <col min="128" max="128" width="42.42578125" bestFit="1" customWidth="1"/>
    <col min="129" max="129" width="32.140625" bestFit="1" customWidth="1"/>
    <col min="130" max="130" width="36.5703125" bestFit="1" customWidth="1"/>
    <col min="131" max="131" width="26.7109375" bestFit="1" customWidth="1"/>
    <col min="132" max="132" width="41.85546875" bestFit="1" customWidth="1"/>
    <col min="133" max="133" width="39.28515625" bestFit="1" customWidth="1"/>
    <col min="134" max="134" width="42.42578125" bestFit="1" customWidth="1"/>
    <col min="135" max="135" width="32.140625" bestFit="1" customWidth="1"/>
    <col min="136" max="136" width="36.5703125" bestFit="1" customWidth="1"/>
    <col min="137" max="137" width="26.7109375" bestFit="1" customWidth="1"/>
    <col min="138" max="138" width="41.85546875" bestFit="1" customWidth="1"/>
    <col min="139" max="139" width="39.28515625" bestFit="1" customWidth="1"/>
    <col min="140" max="140" width="42.42578125" bestFit="1" customWidth="1"/>
    <col min="141" max="141" width="32.140625" bestFit="1" customWidth="1"/>
    <col min="142" max="142" width="36.5703125" bestFit="1" customWidth="1"/>
    <col min="143" max="143" width="26.7109375" bestFit="1" customWidth="1"/>
    <col min="144" max="144" width="41.85546875" bestFit="1" customWidth="1"/>
    <col min="145" max="145" width="39.28515625" bestFit="1" customWidth="1"/>
    <col min="146" max="146" width="42.42578125" bestFit="1" customWidth="1"/>
    <col min="147" max="147" width="32.140625" bestFit="1" customWidth="1"/>
    <col min="148" max="148" width="36.5703125" bestFit="1" customWidth="1"/>
    <col min="149" max="149" width="26.7109375" bestFit="1" customWidth="1"/>
    <col min="150" max="150" width="41.85546875" bestFit="1" customWidth="1"/>
    <col min="151" max="151" width="39.28515625" bestFit="1" customWidth="1"/>
    <col min="152" max="152" width="47.42578125" bestFit="1" customWidth="1"/>
    <col min="153" max="153" width="37.140625" bestFit="1" customWidth="1"/>
    <col min="154" max="154" width="41.5703125" bestFit="1" customWidth="1"/>
    <col min="155" max="155" width="31.7109375" bestFit="1" customWidth="1"/>
    <col min="156" max="156" width="47" bestFit="1" customWidth="1"/>
    <col min="157" max="157" width="44.28515625" bestFit="1" customWidth="1"/>
  </cols>
  <sheetData>
    <row r="3" spans="1:11" x14ac:dyDescent="0.25">
      <c r="B3" s="12" t="s">
        <v>572</v>
      </c>
    </row>
    <row r="4" spans="1:11" x14ac:dyDescent="0.25">
      <c r="A4" s="12" t="s">
        <v>573</v>
      </c>
      <c r="B4" t="s">
        <v>604</v>
      </c>
      <c r="C4" t="s">
        <v>605</v>
      </c>
      <c r="D4" t="s">
        <v>606</v>
      </c>
      <c r="E4" t="s">
        <v>607</v>
      </c>
      <c r="F4" t="s">
        <v>608</v>
      </c>
      <c r="G4" t="s">
        <v>609</v>
      </c>
      <c r="H4" t="s">
        <v>610</v>
      </c>
      <c r="I4" t="s">
        <v>611</v>
      </c>
      <c r="J4" t="s">
        <v>612</v>
      </c>
      <c r="K4" t="s">
        <v>613</v>
      </c>
    </row>
    <row r="5" spans="1:11" x14ac:dyDescent="0.25">
      <c r="A5" s="14" t="s">
        <v>586</v>
      </c>
      <c r="B5" s="15"/>
      <c r="C5" s="15"/>
      <c r="D5" s="15"/>
      <c r="E5" s="15"/>
      <c r="F5" s="15"/>
      <c r="G5" s="15"/>
      <c r="H5" s="15"/>
      <c r="I5" s="15"/>
      <c r="J5" s="15"/>
      <c r="K5" s="15"/>
    </row>
    <row r="6" spans="1:11" x14ac:dyDescent="0.25">
      <c r="A6" s="16" t="s">
        <v>580</v>
      </c>
      <c r="B6" s="15">
        <v>100</v>
      </c>
      <c r="C6" s="15">
        <v>100</v>
      </c>
      <c r="D6" s="15">
        <v>100</v>
      </c>
      <c r="E6" s="15">
        <v>100</v>
      </c>
      <c r="F6" s="15">
        <v>100</v>
      </c>
      <c r="G6" s="15">
        <v>100</v>
      </c>
      <c r="H6" s="15">
        <v>100</v>
      </c>
      <c r="I6" s="15">
        <v>100</v>
      </c>
      <c r="J6" s="15">
        <v>100</v>
      </c>
      <c r="K6" s="15">
        <v>100</v>
      </c>
    </row>
    <row r="7" spans="1:11" x14ac:dyDescent="0.25">
      <c r="A7" s="16" t="s">
        <v>575</v>
      </c>
      <c r="B7" s="15">
        <v>100</v>
      </c>
      <c r="C7" s="15">
        <v>100</v>
      </c>
      <c r="D7" s="15">
        <v>97.96</v>
      </c>
      <c r="E7" s="15">
        <v>100</v>
      </c>
      <c r="F7" s="15">
        <v>100</v>
      </c>
      <c r="G7" s="15">
        <v>100</v>
      </c>
      <c r="H7" s="15">
        <v>100</v>
      </c>
      <c r="I7" s="15">
        <v>99.6</v>
      </c>
      <c r="J7" s="15">
        <v>99.83</v>
      </c>
      <c r="K7" s="15">
        <v>99.98</v>
      </c>
    </row>
    <row r="8" spans="1:11" x14ac:dyDescent="0.25">
      <c r="A8" s="16" t="s">
        <v>576</v>
      </c>
      <c r="B8" s="15">
        <v>0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</row>
    <row r="9" spans="1:11" x14ac:dyDescent="0.25">
      <c r="A9" s="16" t="s">
        <v>574</v>
      </c>
      <c r="B9" s="15">
        <v>4.3600000000000003</v>
      </c>
      <c r="C9" s="15">
        <v>1.29</v>
      </c>
      <c r="D9" s="15">
        <v>1</v>
      </c>
      <c r="E9" s="15">
        <v>0.34</v>
      </c>
      <c r="F9" s="15">
        <v>0.21</v>
      </c>
      <c r="G9" s="15">
        <v>0.69</v>
      </c>
      <c r="H9" s="15">
        <v>1.02</v>
      </c>
      <c r="I9" s="15">
        <v>5.74</v>
      </c>
      <c r="J9" s="15">
        <v>9.41</v>
      </c>
      <c r="K9" s="15">
        <v>12.71</v>
      </c>
    </row>
    <row r="10" spans="1:11" x14ac:dyDescent="0.25">
      <c r="A10" s="16" t="s">
        <v>578</v>
      </c>
      <c r="B10" s="15">
        <v>0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</row>
    <row r="11" spans="1:11" x14ac:dyDescent="0.25">
      <c r="A11" s="16" t="s">
        <v>577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</row>
    <row r="12" spans="1:11" x14ac:dyDescent="0.25">
      <c r="A12" s="14" t="s">
        <v>588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</row>
    <row r="13" spans="1:11" x14ac:dyDescent="0.25">
      <c r="A13" s="16" t="s">
        <v>580</v>
      </c>
      <c r="B13" s="15">
        <v>100</v>
      </c>
      <c r="C13" s="15">
        <v>100</v>
      </c>
      <c r="D13" s="15">
        <v>100</v>
      </c>
      <c r="E13" s="15">
        <v>100</v>
      </c>
      <c r="F13" s="15">
        <v>100</v>
      </c>
      <c r="G13" s="15">
        <v>100</v>
      </c>
      <c r="H13" s="15">
        <v>100</v>
      </c>
      <c r="I13" s="15">
        <v>100</v>
      </c>
      <c r="J13" s="15">
        <v>100</v>
      </c>
      <c r="K13" s="15">
        <v>100</v>
      </c>
    </row>
    <row r="14" spans="1:11" x14ac:dyDescent="0.25">
      <c r="A14" s="16" t="s">
        <v>575</v>
      </c>
      <c r="B14" s="15">
        <v>99.98</v>
      </c>
      <c r="C14" s="15">
        <v>98.06</v>
      </c>
      <c r="D14" s="15">
        <v>95.09</v>
      </c>
      <c r="E14" s="15">
        <v>100</v>
      </c>
      <c r="F14" s="15">
        <v>100</v>
      </c>
      <c r="G14" s="15">
        <v>100</v>
      </c>
      <c r="H14" s="15">
        <v>100</v>
      </c>
      <c r="I14" s="15">
        <v>99.26</v>
      </c>
      <c r="J14" s="15">
        <v>99.82</v>
      </c>
      <c r="K14" s="15">
        <v>100</v>
      </c>
    </row>
    <row r="15" spans="1:11" x14ac:dyDescent="0.25">
      <c r="A15" s="16" t="s">
        <v>576</v>
      </c>
      <c r="B15" s="15">
        <v>0.84</v>
      </c>
      <c r="C15" s="15">
        <v>0</v>
      </c>
      <c r="D15" s="15">
        <v>6.67</v>
      </c>
      <c r="E15" s="15">
        <v>0</v>
      </c>
      <c r="F15" s="15">
        <v>0</v>
      </c>
      <c r="G15" s="15">
        <v>0</v>
      </c>
      <c r="H15" s="15">
        <v>0</v>
      </c>
      <c r="I15" s="15">
        <v>0.4</v>
      </c>
      <c r="J15" s="15">
        <v>0.19</v>
      </c>
      <c r="K15" s="15">
        <v>0.16</v>
      </c>
    </row>
    <row r="16" spans="1:11" x14ac:dyDescent="0.25">
      <c r="A16" s="16" t="s">
        <v>574</v>
      </c>
      <c r="B16" s="15">
        <v>5.34</v>
      </c>
      <c r="C16" s="15">
        <v>1.56</v>
      </c>
      <c r="D16" s="15">
        <v>1.31</v>
      </c>
      <c r="E16" s="15">
        <v>0.06</v>
      </c>
      <c r="F16" s="15">
        <v>0.15</v>
      </c>
      <c r="G16" s="15">
        <v>0.23</v>
      </c>
      <c r="H16" s="15">
        <v>1.24</v>
      </c>
      <c r="I16" s="15">
        <v>4.8</v>
      </c>
      <c r="J16" s="15">
        <v>8.49</v>
      </c>
      <c r="K16" s="15">
        <v>11.96</v>
      </c>
    </row>
    <row r="17" spans="1:11" x14ac:dyDescent="0.25">
      <c r="A17" s="16" t="s">
        <v>578</v>
      </c>
      <c r="B17" s="15">
        <v>0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</row>
    <row r="18" spans="1:11" x14ac:dyDescent="0.25">
      <c r="A18" s="16" t="s">
        <v>577</v>
      </c>
      <c r="B18" s="15">
        <v>0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</row>
    <row r="19" spans="1:11" x14ac:dyDescent="0.25">
      <c r="A19" s="14" t="s">
        <v>590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</row>
    <row r="20" spans="1:11" x14ac:dyDescent="0.25">
      <c r="A20" s="16" t="s">
        <v>580</v>
      </c>
      <c r="B20" s="15">
        <v>100</v>
      </c>
      <c r="C20" s="15">
        <v>100</v>
      </c>
      <c r="D20" s="15">
        <v>100</v>
      </c>
      <c r="E20" s="15">
        <v>100</v>
      </c>
      <c r="F20" s="15">
        <v>100</v>
      </c>
      <c r="G20" s="15">
        <v>100</v>
      </c>
      <c r="H20" s="15">
        <v>100</v>
      </c>
      <c r="I20" s="15">
        <v>100</v>
      </c>
      <c r="J20" s="15">
        <v>94.58</v>
      </c>
      <c r="K20" s="15">
        <v>100</v>
      </c>
    </row>
    <row r="21" spans="1:11" x14ac:dyDescent="0.25">
      <c r="A21" s="16" t="s">
        <v>575</v>
      </c>
      <c r="B21" s="15">
        <v>99.81</v>
      </c>
      <c r="C21" s="15">
        <v>99.92</v>
      </c>
      <c r="D21" s="15">
        <v>100</v>
      </c>
      <c r="E21" s="15">
        <v>100</v>
      </c>
      <c r="F21" s="15">
        <v>100</v>
      </c>
      <c r="G21" s="15">
        <v>99.89</v>
      </c>
      <c r="H21" s="15">
        <v>100</v>
      </c>
      <c r="I21" s="15">
        <v>100</v>
      </c>
      <c r="J21" s="15">
        <v>99.32</v>
      </c>
      <c r="K21" s="15">
        <v>99.62</v>
      </c>
    </row>
    <row r="22" spans="1:11" x14ac:dyDescent="0.25">
      <c r="A22" s="16" t="s">
        <v>576</v>
      </c>
      <c r="B22" s="15">
        <v>0.71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1.56</v>
      </c>
      <c r="I22" s="15">
        <v>0.36</v>
      </c>
      <c r="J22" s="15">
        <v>0.44</v>
      </c>
      <c r="K22" s="15">
        <v>0</v>
      </c>
    </row>
    <row r="23" spans="1:11" x14ac:dyDescent="0.25">
      <c r="A23" s="16" t="s">
        <v>574</v>
      </c>
      <c r="B23" s="15">
        <v>2.73</v>
      </c>
      <c r="C23" s="15">
        <v>0.73</v>
      </c>
      <c r="D23" s="15">
        <v>0.67</v>
      </c>
      <c r="E23" s="15">
        <v>0.17</v>
      </c>
      <c r="F23" s="15">
        <v>0.11</v>
      </c>
      <c r="G23" s="15">
        <v>0.5</v>
      </c>
      <c r="H23" s="15">
        <v>0.69</v>
      </c>
      <c r="I23" s="15">
        <v>4.45</v>
      </c>
      <c r="J23" s="15">
        <v>7.39</v>
      </c>
      <c r="K23" s="15">
        <v>9.7100000000000009</v>
      </c>
    </row>
    <row r="24" spans="1:11" x14ac:dyDescent="0.25">
      <c r="A24" s="16" t="s">
        <v>578</v>
      </c>
      <c r="B24" s="15">
        <v>0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</row>
    <row r="25" spans="1:11" x14ac:dyDescent="0.25">
      <c r="A25" s="16" t="s">
        <v>577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</row>
    <row r="26" spans="1:11" x14ac:dyDescent="0.25">
      <c r="A26" s="14" t="s">
        <v>592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</row>
    <row r="27" spans="1:11" x14ac:dyDescent="0.25">
      <c r="A27" s="16" t="s">
        <v>580</v>
      </c>
      <c r="B27" s="15">
        <v>100</v>
      </c>
      <c r="C27" s="15">
        <v>100</v>
      </c>
      <c r="D27" s="15">
        <v>100</v>
      </c>
      <c r="E27" s="15">
        <v>100</v>
      </c>
      <c r="F27" s="15">
        <v>100</v>
      </c>
      <c r="G27" s="15">
        <v>100</v>
      </c>
      <c r="H27" s="15">
        <v>100</v>
      </c>
      <c r="I27" s="15">
        <v>100</v>
      </c>
      <c r="J27" s="15">
        <v>100</v>
      </c>
      <c r="K27" s="15">
        <v>100</v>
      </c>
    </row>
    <row r="28" spans="1:11" x14ac:dyDescent="0.25">
      <c r="A28" s="16" t="s">
        <v>575</v>
      </c>
      <c r="B28" s="15">
        <v>98.88</v>
      </c>
      <c r="C28" s="15">
        <v>100</v>
      </c>
      <c r="D28" s="15">
        <v>100</v>
      </c>
      <c r="E28" s="15">
        <v>100</v>
      </c>
      <c r="F28" s="15">
        <v>100</v>
      </c>
      <c r="G28" s="15">
        <v>100</v>
      </c>
      <c r="H28" s="15">
        <v>100</v>
      </c>
      <c r="I28" s="15">
        <v>100</v>
      </c>
      <c r="J28" s="15">
        <v>99.91</v>
      </c>
      <c r="K28" s="15">
        <v>100</v>
      </c>
    </row>
    <row r="29" spans="1:11" x14ac:dyDescent="0.25">
      <c r="A29" s="16" t="s">
        <v>576</v>
      </c>
      <c r="B29" s="15">
        <v>0</v>
      </c>
      <c r="C29" s="15">
        <v>0</v>
      </c>
      <c r="D29" s="15">
        <v>0</v>
      </c>
      <c r="E29" s="15">
        <v>33.33</v>
      </c>
      <c r="F29" s="15">
        <v>0</v>
      </c>
      <c r="G29" s="15">
        <v>0</v>
      </c>
      <c r="H29" s="15">
        <v>0</v>
      </c>
      <c r="I29" s="15">
        <v>1.25</v>
      </c>
      <c r="J29" s="15">
        <v>1.4</v>
      </c>
      <c r="K29" s="15">
        <v>0.31</v>
      </c>
    </row>
    <row r="30" spans="1:11" x14ac:dyDescent="0.25">
      <c r="A30" s="16" t="s">
        <v>574</v>
      </c>
      <c r="B30" s="15">
        <v>2</v>
      </c>
      <c r="C30" s="15">
        <v>0.64</v>
      </c>
      <c r="D30" s="15">
        <v>0.28999999999999998</v>
      </c>
      <c r="E30" s="15">
        <v>0.05</v>
      </c>
      <c r="F30" s="15">
        <v>0.05</v>
      </c>
      <c r="G30" s="15">
        <v>0.12</v>
      </c>
      <c r="H30" s="15">
        <v>7.0000000000000007E-2</v>
      </c>
      <c r="I30" s="15">
        <v>1.1200000000000001</v>
      </c>
      <c r="J30" s="15">
        <v>3.89</v>
      </c>
      <c r="K30" s="15">
        <v>4.47</v>
      </c>
    </row>
    <row r="31" spans="1:11" x14ac:dyDescent="0.25">
      <c r="A31" s="16" t="s">
        <v>578</v>
      </c>
      <c r="B31" s="15">
        <v>0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</row>
    <row r="32" spans="1:11" x14ac:dyDescent="0.25">
      <c r="A32" s="16" t="s">
        <v>577</v>
      </c>
      <c r="B32" s="15">
        <v>0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69334-72FF-4DA8-8B2D-E70BBFB064CB}">
  <dimension ref="A1:K29"/>
  <sheetViews>
    <sheetView tabSelected="1" workbookViewId="0">
      <selection sqref="A1:K29"/>
    </sheetView>
  </sheetViews>
  <sheetFormatPr defaultRowHeight="15" x14ac:dyDescent="0.25"/>
  <cols>
    <col min="1" max="1" width="46.7109375" bestFit="1" customWidth="1"/>
    <col min="2" max="11" width="18.28515625" bestFit="1" customWidth="1"/>
    <col min="12" max="12" width="18.28515625" customWidth="1"/>
    <col min="13" max="13" width="39.42578125" customWidth="1"/>
    <col min="14" max="14" width="27.42578125" customWidth="1"/>
    <col min="15" max="15" width="26.42578125" customWidth="1"/>
    <col min="16" max="16" width="26.28515625" customWidth="1"/>
    <col min="17" max="17" width="36.5703125" customWidth="1"/>
    <col min="18" max="18" width="31.140625" customWidth="1"/>
    <col min="19" max="20" width="18.28515625" bestFit="1" customWidth="1"/>
  </cols>
  <sheetData>
    <row r="1" spans="1:11" x14ac:dyDescent="0.25">
      <c r="A1" s="13" t="s">
        <v>573</v>
      </c>
      <c r="B1" s="13" t="s">
        <v>604</v>
      </c>
      <c r="C1" s="13" t="s">
        <v>605</v>
      </c>
      <c r="D1" s="13" t="s">
        <v>606</v>
      </c>
      <c r="E1" s="13" t="s">
        <v>607</v>
      </c>
      <c r="F1" s="13" t="s">
        <v>608</v>
      </c>
      <c r="G1" s="13" t="s">
        <v>609</v>
      </c>
      <c r="H1" s="13" t="s">
        <v>610</v>
      </c>
      <c r="I1" s="13" t="s">
        <v>611</v>
      </c>
      <c r="J1" s="13" t="s">
        <v>612</v>
      </c>
      <c r="K1" s="13" t="s">
        <v>613</v>
      </c>
    </row>
    <row r="2" spans="1:11" x14ac:dyDescent="0.25">
      <c r="A2" s="17" t="s">
        <v>586</v>
      </c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1" ht="15.75" x14ac:dyDescent="0.25">
      <c r="A3" s="16" t="s">
        <v>580</v>
      </c>
      <c r="B3" s="19">
        <v>100</v>
      </c>
      <c r="C3" s="19">
        <v>100</v>
      </c>
      <c r="D3" s="19">
        <v>100</v>
      </c>
      <c r="E3" s="19">
        <v>100</v>
      </c>
      <c r="F3" s="19">
        <v>100</v>
      </c>
      <c r="G3" s="19">
        <v>100</v>
      </c>
      <c r="H3" s="19">
        <v>100</v>
      </c>
      <c r="I3" s="19">
        <v>100</v>
      </c>
      <c r="J3" s="19">
        <v>100</v>
      </c>
      <c r="K3" s="19">
        <v>100</v>
      </c>
    </row>
    <row r="4" spans="1:11" ht="15.75" x14ac:dyDescent="0.25">
      <c r="A4" s="16" t="s">
        <v>575</v>
      </c>
      <c r="B4" s="19">
        <v>100</v>
      </c>
      <c r="C4" s="19">
        <v>100</v>
      </c>
      <c r="D4" s="19">
        <v>97.96</v>
      </c>
      <c r="E4" s="19">
        <v>100</v>
      </c>
      <c r="F4" s="19">
        <v>100</v>
      </c>
      <c r="G4" s="19">
        <v>100</v>
      </c>
      <c r="H4" s="19">
        <v>100</v>
      </c>
      <c r="I4" s="19">
        <v>99.6</v>
      </c>
      <c r="J4" s="19">
        <v>99.83</v>
      </c>
      <c r="K4" s="19">
        <v>99.98</v>
      </c>
    </row>
    <row r="5" spans="1:11" ht="15.75" x14ac:dyDescent="0.25">
      <c r="A5" s="16" t="s">
        <v>576</v>
      </c>
      <c r="B5" s="19">
        <v>0</v>
      </c>
      <c r="C5" s="19">
        <v>0</v>
      </c>
      <c r="D5" s="19">
        <v>0</v>
      </c>
      <c r="E5" s="19">
        <v>0</v>
      </c>
      <c r="F5" s="19">
        <v>0</v>
      </c>
      <c r="G5" s="19">
        <v>0</v>
      </c>
      <c r="H5" s="19">
        <v>0</v>
      </c>
      <c r="I5" s="19">
        <v>0</v>
      </c>
      <c r="J5" s="19">
        <v>0</v>
      </c>
      <c r="K5" s="19">
        <v>0</v>
      </c>
    </row>
    <row r="6" spans="1:11" x14ac:dyDescent="0.25">
      <c r="A6" s="16" t="s">
        <v>574</v>
      </c>
      <c r="B6" s="20">
        <v>4.3600000000000003</v>
      </c>
      <c r="C6" s="20">
        <v>1.29</v>
      </c>
      <c r="D6" s="20">
        <v>1</v>
      </c>
      <c r="E6" s="20">
        <v>0.34</v>
      </c>
      <c r="F6" s="20">
        <v>0.21</v>
      </c>
      <c r="G6" s="20">
        <v>0.69</v>
      </c>
      <c r="H6" s="20">
        <v>1.02</v>
      </c>
      <c r="I6" s="20">
        <v>5.74</v>
      </c>
      <c r="J6" s="20">
        <v>9.41</v>
      </c>
      <c r="K6" s="20">
        <v>12.71</v>
      </c>
    </row>
    <row r="7" spans="1:11" x14ac:dyDescent="0.25">
      <c r="A7" s="16" t="s">
        <v>578</v>
      </c>
      <c r="B7" s="20">
        <v>0</v>
      </c>
      <c r="C7" s="20">
        <v>0</v>
      </c>
      <c r="D7" s="20">
        <v>0</v>
      </c>
      <c r="E7" s="20">
        <v>0</v>
      </c>
      <c r="F7" s="20">
        <v>0</v>
      </c>
      <c r="G7" s="20">
        <v>0</v>
      </c>
      <c r="H7" s="20">
        <v>0</v>
      </c>
      <c r="I7" s="20">
        <v>0</v>
      </c>
      <c r="J7" s="20">
        <v>0</v>
      </c>
      <c r="K7" s="20">
        <v>0</v>
      </c>
    </row>
    <row r="8" spans="1:11" x14ac:dyDescent="0.25">
      <c r="A8" s="16" t="s">
        <v>577</v>
      </c>
      <c r="B8" s="20">
        <v>0</v>
      </c>
      <c r="C8" s="20">
        <v>0</v>
      </c>
      <c r="D8" s="20">
        <v>0</v>
      </c>
      <c r="E8" s="20">
        <v>0</v>
      </c>
      <c r="F8" s="20">
        <v>0</v>
      </c>
      <c r="G8" s="20">
        <v>0</v>
      </c>
      <c r="H8" s="20">
        <v>0</v>
      </c>
      <c r="I8" s="20">
        <v>0</v>
      </c>
      <c r="J8" s="20">
        <v>0</v>
      </c>
      <c r="K8" s="20">
        <v>0</v>
      </c>
    </row>
    <row r="9" spans="1:11" x14ac:dyDescent="0.25">
      <c r="A9" s="17" t="s">
        <v>588</v>
      </c>
      <c r="B9" s="18"/>
      <c r="C9" s="18"/>
      <c r="D9" s="18"/>
      <c r="E9" s="18"/>
      <c r="F9" s="18"/>
      <c r="G9" s="18"/>
      <c r="H9" s="18"/>
      <c r="I9" s="18"/>
      <c r="J9" s="18"/>
      <c r="K9" s="18"/>
    </row>
    <row r="10" spans="1:11" ht="15.75" x14ac:dyDescent="0.25">
      <c r="A10" s="16" t="s">
        <v>580</v>
      </c>
      <c r="B10" s="19">
        <v>100</v>
      </c>
      <c r="C10" s="19">
        <v>100</v>
      </c>
      <c r="D10" s="19">
        <v>100</v>
      </c>
      <c r="E10" s="19">
        <v>100</v>
      </c>
      <c r="F10" s="19">
        <v>100</v>
      </c>
      <c r="G10" s="19">
        <v>100</v>
      </c>
      <c r="H10" s="19">
        <v>100</v>
      </c>
      <c r="I10" s="19">
        <v>100</v>
      </c>
      <c r="J10" s="19">
        <v>100</v>
      </c>
      <c r="K10" s="19">
        <v>100</v>
      </c>
    </row>
    <row r="11" spans="1:11" ht="15.75" x14ac:dyDescent="0.25">
      <c r="A11" s="16" t="s">
        <v>575</v>
      </c>
      <c r="B11" s="19">
        <v>99.98</v>
      </c>
      <c r="C11" s="19">
        <v>98.06</v>
      </c>
      <c r="D11" s="19">
        <v>95.09</v>
      </c>
      <c r="E11" s="19">
        <v>100</v>
      </c>
      <c r="F11" s="19">
        <v>100</v>
      </c>
      <c r="G11" s="19">
        <v>100</v>
      </c>
      <c r="H11" s="19">
        <v>100</v>
      </c>
      <c r="I11" s="19">
        <v>99.26</v>
      </c>
      <c r="J11" s="19">
        <v>99.82</v>
      </c>
      <c r="K11" s="19">
        <v>100</v>
      </c>
    </row>
    <row r="12" spans="1:11" ht="15.75" x14ac:dyDescent="0.25">
      <c r="A12" s="16" t="s">
        <v>576</v>
      </c>
      <c r="B12" s="19">
        <v>0.84</v>
      </c>
      <c r="C12" s="19">
        <v>0</v>
      </c>
      <c r="D12" s="19">
        <v>6.67</v>
      </c>
      <c r="E12" s="19">
        <v>0</v>
      </c>
      <c r="F12" s="19">
        <v>0</v>
      </c>
      <c r="G12" s="19">
        <v>0</v>
      </c>
      <c r="H12" s="19">
        <v>0</v>
      </c>
      <c r="I12" s="19">
        <v>0.4</v>
      </c>
      <c r="J12" s="19">
        <v>0.19</v>
      </c>
      <c r="K12" s="19">
        <v>0.16</v>
      </c>
    </row>
    <row r="13" spans="1:11" x14ac:dyDescent="0.25">
      <c r="A13" s="16" t="s">
        <v>574</v>
      </c>
      <c r="B13" s="20">
        <v>5.34</v>
      </c>
      <c r="C13" s="20">
        <v>1.56</v>
      </c>
      <c r="D13" s="20">
        <v>1.31</v>
      </c>
      <c r="E13" s="20">
        <v>0.06</v>
      </c>
      <c r="F13" s="20">
        <v>0.15</v>
      </c>
      <c r="G13" s="20">
        <v>0.23</v>
      </c>
      <c r="H13" s="20">
        <v>1.24</v>
      </c>
      <c r="I13" s="20">
        <v>4.8</v>
      </c>
      <c r="J13" s="20">
        <v>8.49</v>
      </c>
      <c r="K13" s="20">
        <v>11.96</v>
      </c>
    </row>
    <row r="14" spans="1:11" x14ac:dyDescent="0.25">
      <c r="A14" s="16" t="s">
        <v>578</v>
      </c>
      <c r="B14" s="20">
        <v>0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</row>
    <row r="15" spans="1:11" x14ac:dyDescent="0.25">
      <c r="A15" s="16" t="s">
        <v>577</v>
      </c>
      <c r="B15" s="20">
        <v>0</v>
      </c>
      <c r="C15" s="20">
        <v>0</v>
      </c>
      <c r="D15" s="20">
        <v>0</v>
      </c>
      <c r="E15" s="20">
        <v>0</v>
      </c>
      <c r="F15" s="20">
        <v>0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</row>
    <row r="16" spans="1:11" x14ac:dyDescent="0.25">
      <c r="A16" s="17" t="s">
        <v>590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</row>
    <row r="17" spans="1:11" ht="15.75" x14ac:dyDescent="0.25">
      <c r="A17" s="16" t="s">
        <v>580</v>
      </c>
      <c r="B17" s="19">
        <v>100</v>
      </c>
      <c r="C17" s="19">
        <v>100</v>
      </c>
      <c r="D17" s="19">
        <v>100</v>
      </c>
      <c r="E17" s="19">
        <v>100</v>
      </c>
      <c r="F17" s="19">
        <v>100</v>
      </c>
      <c r="G17" s="19">
        <v>100</v>
      </c>
      <c r="H17" s="19">
        <v>100</v>
      </c>
      <c r="I17" s="19">
        <v>100</v>
      </c>
      <c r="J17" s="19">
        <v>94.58</v>
      </c>
      <c r="K17" s="19">
        <v>100</v>
      </c>
    </row>
    <row r="18" spans="1:11" ht="15.75" x14ac:dyDescent="0.25">
      <c r="A18" s="16" t="s">
        <v>575</v>
      </c>
      <c r="B18" s="19">
        <v>99.81</v>
      </c>
      <c r="C18" s="19">
        <v>99.92</v>
      </c>
      <c r="D18" s="19">
        <v>100</v>
      </c>
      <c r="E18" s="19">
        <v>100</v>
      </c>
      <c r="F18" s="19">
        <v>100</v>
      </c>
      <c r="G18" s="19">
        <v>99.89</v>
      </c>
      <c r="H18" s="19">
        <v>100</v>
      </c>
      <c r="I18" s="19">
        <v>100</v>
      </c>
      <c r="J18" s="19">
        <v>99.32</v>
      </c>
      <c r="K18" s="19">
        <v>99.62</v>
      </c>
    </row>
    <row r="19" spans="1:11" ht="15.75" x14ac:dyDescent="0.25">
      <c r="A19" s="16" t="s">
        <v>576</v>
      </c>
      <c r="B19" s="19">
        <v>0.71</v>
      </c>
      <c r="C19" s="19">
        <v>0</v>
      </c>
      <c r="D19" s="19">
        <v>0</v>
      </c>
      <c r="E19" s="19">
        <v>0</v>
      </c>
      <c r="F19" s="19">
        <v>0</v>
      </c>
      <c r="G19" s="19">
        <v>0</v>
      </c>
      <c r="H19" s="19">
        <v>1.56</v>
      </c>
      <c r="I19" s="19">
        <v>0.36</v>
      </c>
      <c r="J19" s="19">
        <v>0.44</v>
      </c>
      <c r="K19" s="19">
        <v>0</v>
      </c>
    </row>
    <row r="20" spans="1:11" x14ac:dyDescent="0.25">
      <c r="A20" s="16" t="s">
        <v>574</v>
      </c>
      <c r="B20" s="20">
        <v>2.73</v>
      </c>
      <c r="C20" s="20">
        <v>0.73</v>
      </c>
      <c r="D20" s="20">
        <v>0.67</v>
      </c>
      <c r="E20" s="20">
        <v>0.17</v>
      </c>
      <c r="F20" s="20">
        <v>0.11</v>
      </c>
      <c r="G20" s="20">
        <v>0.5</v>
      </c>
      <c r="H20" s="20">
        <v>0.69</v>
      </c>
      <c r="I20" s="20">
        <v>4.45</v>
      </c>
      <c r="J20" s="20">
        <v>7.39</v>
      </c>
      <c r="K20" s="20">
        <v>9.7100000000000009</v>
      </c>
    </row>
    <row r="21" spans="1:11" x14ac:dyDescent="0.25">
      <c r="A21" s="16" t="s">
        <v>578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</row>
    <row r="22" spans="1:11" x14ac:dyDescent="0.25">
      <c r="A22" s="16" t="s">
        <v>577</v>
      </c>
      <c r="B22" s="20">
        <v>0</v>
      </c>
      <c r="C22" s="20">
        <v>0</v>
      </c>
      <c r="D22" s="20">
        <v>0</v>
      </c>
      <c r="E22" s="20">
        <v>0</v>
      </c>
      <c r="F22" s="20">
        <v>0</v>
      </c>
      <c r="G22" s="20">
        <v>0</v>
      </c>
      <c r="H22" s="20">
        <v>0</v>
      </c>
      <c r="I22" s="20">
        <v>0</v>
      </c>
      <c r="J22" s="20">
        <v>0</v>
      </c>
      <c r="K22" s="20">
        <v>0</v>
      </c>
    </row>
    <row r="23" spans="1:11" x14ac:dyDescent="0.25">
      <c r="A23" s="17" t="s">
        <v>592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</row>
    <row r="24" spans="1:11" ht="15.75" x14ac:dyDescent="0.25">
      <c r="A24" s="16" t="s">
        <v>580</v>
      </c>
      <c r="B24" s="19">
        <v>100</v>
      </c>
      <c r="C24" s="19">
        <v>100</v>
      </c>
      <c r="D24" s="19">
        <v>100</v>
      </c>
      <c r="E24" s="19">
        <v>100</v>
      </c>
      <c r="F24" s="19">
        <v>100</v>
      </c>
      <c r="G24" s="19">
        <v>100</v>
      </c>
      <c r="H24" s="19">
        <v>100</v>
      </c>
      <c r="I24" s="19">
        <v>100</v>
      </c>
      <c r="J24" s="19">
        <v>100</v>
      </c>
      <c r="K24" s="19">
        <v>100</v>
      </c>
    </row>
    <row r="25" spans="1:11" ht="15.75" x14ac:dyDescent="0.25">
      <c r="A25" s="16" t="s">
        <v>575</v>
      </c>
      <c r="B25" s="19">
        <v>98.88</v>
      </c>
      <c r="C25" s="19">
        <v>100</v>
      </c>
      <c r="D25" s="19">
        <v>100</v>
      </c>
      <c r="E25" s="19">
        <v>100</v>
      </c>
      <c r="F25" s="19">
        <v>100</v>
      </c>
      <c r="G25" s="19">
        <v>100</v>
      </c>
      <c r="H25" s="19">
        <v>100</v>
      </c>
      <c r="I25" s="19">
        <v>100</v>
      </c>
      <c r="J25" s="19">
        <v>99.91</v>
      </c>
      <c r="K25" s="19">
        <v>100</v>
      </c>
    </row>
    <row r="26" spans="1:11" ht="15.75" x14ac:dyDescent="0.25">
      <c r="A26" s="16" t="s">
        <v>576</v>
      </c>
      <c r="B26" s="19">
        <v>0</v>
      </c>
      <c r="C26" s="19">
        <v>0</v>
      </c>
      <c r="D26" s="19">
        <v>0</v>
      </c>
      <c r="E26" s="19">
        <v>33.33</v>
      </c>
      <c r="F26" s="19">
        <v>0</v>
      </c>
      <c r="G26" s="19">
        <v>0</v>
      </c>
      <c r="H26" s="19">
        <v>0</v>
      </c>
      <c r="I26" s="19">
        <v>1.25</v>
      </c>
      <c r="J26" s="19">
        <v>1.4</v>
      </c>
      <c r="K26" s="19">
        <v>0.31</v>
      </c>
    </row>
    <row r="27" spans="1:11" x14ac:dyDescent="0.25">
      <c r="A27" s="16" t="s">
        <v>574</v>
      </c>
      <c r="B27" s="20">
        <v>2</v>
      </c>
      <c r="C27" s="20">
        <v>0.64</v>
      </c>
      <c r="D27" s="20">
        <v>0.28999999999999998</v>
      </c>
      <c r="E27" s="20">
        <v>0.05</v>
      </c>
      <c r="F27" s="20">
        <v>0.05</v>
      </c>
      <c r="G27" s="20">
        <v>0.12</v>
      </c>
      <c r="H27" s="20">
        <v>7.0000000000000007E-2</v>
      </c>
      <c r="I27" s="20">
        <v>1.1200000000000001</v>
      </c>
      <c r="J27" s="20">
        <v>3.89</v>
      </c>
      <c r="K27" s="20">
        <v>4.47</v>
      </c>
    </row>
    <row r="28" spans="1:11" x14ac:dyDescent="0.25">
      <c r="A28" s="16" t="s">
        <v>578</v>
      </c>
      <c r="B28" s="20">
        <v>0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</row>
    <row r="29" spans="1:11" x14ac:dyDescent="0.25">
      <c r="A29" s="16" t="s">
        <v>577</v>
      </c>
      <c r="B29" s="20">
        <v>0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</row>
  </sheetData>
  <conditionalFormatting sqref="B3">
    <cfRule type="cellIs" dxfId="47" priority="60" operator="greaterThan">
      <formula>98.5</formula>
    </cfRule>
  </conditionalFormatting>
  <conditionalFormatting sqref="B3">
    <cfRule type="cellIs" dxfId="46" priority="59" operator="lessThan">
      <formula>98.5</formula>
    </cfRule>
  </conditionalFormatting>
  <conditionalFormatting sqref="B4">
    <cfRule type="cellIs" dxfId="45" priority="58" operator="greaterThan">
      <formula>98.5</formula>
    </cfRule>
  </conditionalFormatting>
  <conditionalFormatting sqref="B4">
    <cfRule type="cellIs" dxfId="44" priority="57" operator="lessThan">
      <formula>98.5</formula>
    </cfRule>
  </conditionalFormatting>
  <conditionalFormatting sqref="B5">
    <cfRule type="cellIs" dxfId="43" priority="56" operator="greaterThan">
      <formula>0.7</formula>
    </cfRule>
  </conditionalFormatting>
  <conditionalFormatting sqref="B5">
    <cfRule type="cellIs" dxfId="42" priority="55" operator="lessThan">
      <formula>0.7</formula>
    </cfRule>
  </conditionalFormatting>
  <conditionalFormatting sqref="C3:K3">
    <cfRule type="cellIs" dxfId="41" priority="54" operator="greaterThan">
      <formula>98.5</formula>
    </cfRule>
  </conditionalFormatting>
  <conditionalFormatting sqref="C3:K3">
    <cfRule type="cellIs" dxfId="40" priority="53" operator="lessThan">
      <formula>98.5</formula>
    </cfRule>
  </conditionalFormatting>
  <conditionalFormatting sqref="C4:K4">
    <cfRule type="cellIs" dxfId="39" priority="52" operator="greaterThan">
      <formula>98.5</formula>
    </cfRule>
  </conditionalFormatting>
  <conditionalFormatting sqref="C4:K4">
    <cfRule type="cellIs" dxfId="38" priority="51" operator="lessThan">
      <formula>98.5</formula>
    </cfRule>
  </conditionalFormatting>
  <conditionalFormatting sqref="C5:K5">
    <cfRule type="cellIs" dxfId="37" priority="50" operator="greaterThan">
      <formula>0.7</formula>
    </cfRule>
  </conditionalFormatting>
  <conditionalFormatting sqref="C5:K5">
    <cfRule type="cellIs" dxfId="36" priority="49" operator="lessThan">
      <formula>0.7</formula>
    </cfRule>
  </conditionalFormatting>
  <conditionalFormatting sqref="B10">
    <cfRule type="cellIs" dxfId="35" priority="48" operator="greaterThan">
      <formula>98.5</formula>
    </cfRule>
  </conditionalFormatting>
  <conditionalFormatting sqref="B10">
    <cfRule type="cellIs" dxfId="34" priority="47" operator="lessThan">
      <formula>98.5</formula>
    </cfRule>
  </conditionalFormatting>
  <conditionalFormatting sqref="B11">
    <cfRule type="cellIs" dxfId="33" priority="46" operator="greaterThan">
      <formula>98.5</formula>
    </cfRule>
  </conditionalFormatting>
  <conditionalFormatting sqref="B11">
    <cfRule type="cellIs" dxfId="32" priority="45" operator="lessThan">
      <formula>98.5</formula>
    </cfRule>
  </conditionalFormatting>
  <conditionalFormatting sqref="B12">
    <cfRule type="cellIs" dxfId="31" priority="44" operator="greaterThan">
      <formula>0.7</formula>
    </cfRule>
  </conditionalFormatting>
  <conditionalFormatting sqref="B12">
    <cfRule type="cellIs" dxfId="30" priority="43" operator="lessThan">
      <formula>0.7</formula>
    </cfRule>
  </conditionalFormatting>
  <conditionalFormatting sqref="B17">
    <cfRule type="cellIs" dxfId="29" priority="42" operator="greaterThan">
      <formula>98.5</formula>
    </cfRule>
  </conditionalFormatting>
  <conditionalFormatting sqref="B17">
    <cfRule type="cellIs" dxfId="28" priority="41" operator="lessThan">
      <formula>98.5</formula>
    </cfRule>
  </conditionalFormatting>
  <conditionalFormatting sqref="B18">
    <cfRule type="cellIs" dxfId="27" priority="40" operator="greaterThan">
      <formula>98.5</formula>
    </cfRule>
  </conditionalFormatting>
  <conditionalFormatting sqref="B18">
    <cfRule type="cellIs" dxfId="26" priority="39" operator="lessThan">
      <formula>98.5</formula>
    </cfRule>
  </conditionalFormatting>
  <conditionalFormatting sqref="B19">
    <cfRule type="cellIs" dxfId="25" priority="38" operator="greaterThan">
      <formula>0.7</formula>
    </cfRule>
  </conditionalFormatting>
  <conditionalFormatting sqref="B19">
    <cfRule type="cellIs" dxfId="24" priority="37" operator="lessThan">
      <formula>0.7</formula>
    </cfRule>
  </conditionalFormatting>
  <conditionalFormatting sqref="B24">
    <cfRule type="cellIs" dxfId="23" priority="36" operator="greaterThan">
      <formula>98.5</formula>
    </cfRule>
  </conditionalFormatting>
  <conditionalFormatting sqref="B24">
    <cfRule type="cellIs" dxfId="22" priority="35" operator="lessThan">
      <formula>98.5</formula>
    </cfRule>
  </conditionalFormatting>
  <conditionalFormatting sqref="B25">
    <cfRule type="cellIs" dxfId="21" priority="34" operator="greaterThan">
      <formula>98.5</formula>
    </cfRule>
  </conditionalFormatting>
  <conditionalFormatting sqref="B25">
    <cfRule type="cellIs" dxfId="20" priority="33" operator="lessThan">
      <formula>98.5</formula>
    </cfRule>
  </conditionalFormatting>
  <conditionalFormatting sqref="B26">
    <cfRule type="cellIs" dxfId="19" priority="32" operator="greaterThan">
      <formula>0.7</formula>
    </cfRule>
  </conditionalFormatting>
  <conditionalFormatting sqref="B26">
    <cfRule type="cellIs" dxfId="18" priority="31" operator="lessThan">
      <formula>0.7</formula>
    </cfRule>
  </conditionalFormatting>
  <conditionalFormatting sqref="C10:K10">
    <cfRule type="cellIs" dxfId="17" priority="24" operator="greaterThan">
      <formula>98.5</formula>
    </cfRule>
  </conditionalFormatting>
  <conditionalFormatting sqref="C10:K10">
    <cfRule type="cellIs" dxfId="16" priority="23" operator="lessThan">
      <formula>98.5</formula>
    </cfRule>
  </conditionalFormatting>
  <conditionalFormatting sqref="C11:K11">
    <cfRule type="cellIs" dxfId="15" priority="22" operator="greaterThan">
      <formula>98.5</formula>
    </cfRule>
  </conditionalFormatting>
  <conditionalFormatting sqref="C11:K11">
    <cfRule type="cellIs" dxfId="14" priority="21" operator="lessThan">
      <formula>98.5</formula>
    </cfRule>
  </conditionalFormatting>
  <conditionalFormatting sqref="C12:K12">
    <cfRule type="cellIs" dxfId="13" priority="20" operator="greaterThan">
      <formula>0.7</formula>
    </cfRule>
  </conditionalFormatting>
  <conditionalFormatting sqref="C12:K12">
    <cfRule type="cellIs" dxfId="12" priority="19" operator="lessThan">
      <formula>0.7</formula>
    </cfRule>
  </conditionalFormatting>
  <conditionalFormatting sqref="C17:K17">
    <cfRule type="cellIs" dxfId="11" priority="18" operator="greaterThan">
      <formula>98.5</formula>
    </cfRule>
  </conditionalFormatting>
  <conditionalFormatting sqref="C17:K17">
    <cfRule type="cellIs" dxfId="10" priority="17" operator="lessThan">
      <formula>98.5</formula>
    </cfRule>
  </conditionalFormatting>
  <conditionalFormatting sqref="C18:K18">
    <cfRule type="cellIs" dxfId="9" priority="16" operator="greaterThan">
      <formula>98.5</formula>
    </cfRule>
  </conditionalFormatting>
  <conditionalFormatting sqref="C18:K18">
    <cfRule type="cellIs" dxfId="8" priority="15" operator="lessThan">
      <formula>98.5</formula>
    </cfRule>
  </conditionalFormatting>
  <conditionalFormatting sqref="C19:K19">
    <cfRule type="cellIs" dxfId="7" priority="14" operator="greaterThan">
      <formula>0.7</formula>
    </cfRule>
  </conditionalFormatting>
  <conditionalFormatting sqref="C19:K19">
    <cfRule type="cellIs" dxfId="6" priority="13" operator="lessThan">
      <formula>0.7</formula>
    </cfRule>
  </conditionalFormatting>
  <conditionalFormatting sqref="C24:K24">
    <cfRule type="cellIs" dxfId="5" priority="12" operator="greaterThan">
      <formula>98.5</formula>
    </cfRule>
  </conditionalFormatting>
  <conditionalFormatting sqref="C24:K24">
    <cfRule type="cellIs" dxfId="4" priority="11" operator="lessThan">
      <formula>98.5</formula>
    </cfRule>
  </conditionalFormatting>
  <conditionalFormatting sqref="C25:K25">
    <cfRule type="cellIs" dxfId="3" priority="10" operator="greaterThan">
      <formula>98.5</formula>
    </cfRule>
  </conditionalFormatting>
  <conditionalFormatting sqref="C25:K25">
    <cfRule type="cellIs" dxfId="2" priority="9" operator="lessThan">
      <formula>98.5</formula>
    </cfRule>
  </conditionalFormatting>
  <conditionalFormatting sqref="C26:K26">
    <cfRule type="cellIs" dxfId="1" priority="8" operator="greaterThan">
      <formula>0.7</formula>
    </cfRule>
  </conditionalFormatting>
  <conditionalFormatting sqref="C26:K26">
    <cfRule type="cellIs" dxfId="0" priority="7" operator="lessThan">
      <formula>0.7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276"/>
  <sheetViews>
    <sheetView topLeftCell="A73" workbookViewId="0">
      <selection activeCell="AF95" sqref="AF95"/>
    </sheetView>
  </sheetViews>
  <sheetFormatPr defaultRowHeight="15" x14ac:dyDescent="0.25"/>
  <cols>
    <col min="1" max="1" width="18.28515625" bestFit="1" customWidth="1"/>
  </cols>
  <sheetData>
    <row r="1" spans="1:4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0" t="s">
        <v>579</v>
      </c>
    </row>
    <row r="2" spans="1:43" ht="16.5" x14ac:dyDescent="0.3">
      <c r="A2" s="21" t="s">
        <v>583</v>
      </c>
      <c r="B2" s="21" t="s">
        <v>584</v>
      </c>
      <c r="C2" s="21" t="s">
        <v>42</v>
      </c>
      <c r="D2" s="21" t="s">
        <v>581</v>
      </c>
      <c r="E2" s="21" t="s">
        <v>582</v>
      </c>
      <c r="F2" s="21" t="s">
        <v>581</v>
      </c>
      <c r="G2" s="21" t="s">
        <v>582</v>
      </c>
      <c r="H2" s="21" t="s">
        <v>585</v>
      </c>
      <c r="I2" s="21" t="s">
        <v>586</v>
      </c>
      <c r="J2" s="22">
        <v>1</v>
      </c>
      <c r="K2" s="23">
        <v>17.399999999999999</v>
      </c>
      <c r="L2" s="23">
        <v>97.29</v>
      </c>
      <c r="M2" s="24">
        <v>99.9</v>
      </c>
      <c r="N2" s="25">
        <v>0.97340000000000004</v>
      </c>
      <c r="O2" s="26">
        <v>0</v>
      </c>
      <c r="P2" s="26">
        <v>0</v>
      </c>
      <c r="Q2" s="25">
        <v>1.29E-2</v>
      </c>
      <c r="R2" s="26">
        <v>0</v>
      </c>
      <c r="S2" s="26">
        <v>0</v>
      </c>
      <c r="T2" s="26">
        <v>0</v>
      </c>
      <c r="U2" s="26">
        <v>0</v>
      </c>
      <c r="V2" s="26">
        <v>0</v>
      </c>
      <c r="W2" s="26">
        <v>0</v>
      </c>
      <c r="X2" s="26">
        <v>0</v>
      </c>
      <c r="Y2" s="26">
        <v>0</v>
      </c>
      <c r="Z2" s="25">
        <v>2.5999999999999999E-3</v>
      </c>
      <c r="AA2" s="24">
        <v>99.9</v>
      </c>
      <c r="AB2" s="26">
        <v>4</v>
      </c>
      <c r="AC2" s="26">
        <v>974</v>
      </c>
      <c r="AD2" s="26">
        <v>5297</v>
      </c>
      <c r="AE2" s="26">
        <v>734</v>
      </c>
      <c r="AF2" s="27">
        <v>0</v>
      </c>
      <c r="AG2" s="24">
        <v>98.14</v>
      </c>
      <c r="AI2" s="26">
        <v>0</v>
      </c>
      <c r="AJ2" s="24">
        <v>96.51</v>
      </c>
      <c r="AK2" s="25">
        <v>7.4800000000000005E-2</v>
      </c>
      <c r="AL2" s="28">
        <v>2.58E-2</v>
      </c>
      <c r="AM2" s="28">
        <v>0.96330000000000005</v>
      </c>
      <c r="AN2" s="26">
        <v>0</v>
      </c>
      <c r="AO2" s="26">
        <v>9</v>
      </c>
      <c r="AP2" s="23">
        <v>38.28</v>
      </c>
      <c r="AQ2">
        <f>J2*100</f>
        <v>100</v>
      </c>
    </row>
    <row r="3" spans="1:43" ht="16.5" x14ac:dyDescent="0.3">
      <c r="A3" s="21" t="s">
        <v>583</v>
      </c>
      <c r="B3" s="21" t="s">
        <v>584</v>
      </c>
      <c r="C3" s="21" t="s">
        <v>42</v>
      </c>
      <c r="D3" s="21" t="s">
        <v>581</v>
      </c>
      <c r="E3" s="21" t="s">
        <v>582</v>
      </c>
      <c r="F3" s="21" t="s">
        <v>581</v>
      </c>
      <c r="G3" s="21" t="s">
        <v>582</v>
      </c>
      <c r="H3" s="21" t="s">
        <v>587</v>
      </c>
      <c r="I3" s="21" t="s">
        <v>588</v>
      </c>
      <c r="J3" s="22">
        <v>1</v>
      </c>
      <c r="K3" s="23">
        <v>12.41</v>
      </c>
      <c r="L3" s="23">
        <v>109.41</v>
      </c>
      <c r="M3" s="24">
        <v>98.96</v>
      </c>
      <c r="N3" s="25">
        <v>0.96740000000000004</v>
      </c>
      <c r="O3" s="24">
        <v>0.46</v>
      </c>
      <c r="P3" s="26">
        <v>0</v>
      </c>
      <c r="Q3" s="25">
        <v>1.2699999999999999E-2</v>
      </c>
      <c r="R3" s="26">
        <v>5</v>
      </c>
      <c r="S3" s="26">
        <v>0</v>
      </c>
      <c r="T3" s="26">
        <v>0</v>
      </c>
      <c r="U3" s="26">
        <v>0</v>
      </c>
      <c r="V3" s="26">
        <v>5</v>
      </c>
      <c r="W3" s="26">
        <v>0</v>
      </c>
      <c r="X3" s="26">
        <v>0</v>
      </c>
      <c r="Y3" s="26">
        <v>5</v>
      </c>
      <c r="Z3" s="25">
        <v>2.5999999999999999E-3</v>
      </c>
      <c r="AA3" s="24">
        <v>98.96</v>
      </c>
      <c r="AB3" s="26">
        <v>39</v>
      </c>
      <c r="AC3" s="26">
        <v>671</v>
      </c>
      <c r="AD3" s="26">
        <v>5305</v>
      </c>
      <c r="AE3" s="26">
        <v>658</v>
      </c>
      <c r="AF3" s="27">
        <v>0</v>
      </c>
      <c r="AG3" s="24">
        <v>95.52</v>
      </c>
      <c r="AH3" s="27">
        <v>0</v>
      </c>
      <c r="AI3" s="26">
        <v>0</v>
      </c>
      <c r="AJ3" s="24">
        <v>95.28</v>
      </c>
      <c r="AK3" s="25">
        <v>0.2291</v>
      </c>
      <c r="AL3" s="28">
        <v>2.7799999999999998E-2</v>
      </c>
      <c r="AM3" s="28">
        <v>0.95779999999999998</v>
      </c>
      <c r="AN3" s="26">
        <v>0</v>
      </c>
      <c r="AO3" s="26">
        <v>8</v>
      </c>
      <c r="AP3" s="23">
        <v>33.17</v>
      </c>
      <c r="AQ3">
        <f t="shared" ref="AQ3:AQ66" si="0">J3*100</f>
        <v>100</v>
      </c>
    </row>
    <row r="4" spans="1:43" ht="16.5" x14ac:dyDescent="0.3">
      <c r="A4" s="21" t="s">
        <v>583</v>
      </c>
      <c r="B4" s="21" t="s">
        <v>584</v>
      </c>
      <c r="C4" s="21" t="s">
        <v>42</v>
      </c>
      <c r="D4" s="21" t="s">
        <v>581</v>
      </c>
      <c r="E4" s="21" t="s">
        <v>582</v>
      </c>
      <c r="F4" s="21" t="s">
        <v>581</v>
      </c>
      <c r="G4" s="21" t="s">
        <v>582</v>
      </c>
      <c r="H4" s="21" t="s">
        <v>589</v>
      </c>
      <c r="I4" s="21" t="s">
        <v>590</v>
      </c>
      <c r="J4" s="22">
        <v>1</v>
      </c>
      <c r="K4" s="23">
        <v>11.91</v>
      </c>
      <c r="L4" s="23">
        <v>31.84</v>
      </c>
      <c r="M4" s="24">
        <v>99.97</v>
      </c>
      <c r="N4" s="25">
        <v>0.9788</v>
      </c>
      <c r="O4" s="26">
        <v>0</v>
      </c>
      <c r="P4" s="24">
        <v>0.03</v>
      </c>
      <c r="Q4" s="25">
        <v>9.4000000000000004E-3</v>
      </c>
      <c r="R4" s="26">
        <v>1</v>
      </c>
      <c r="S4" s="26">
        <v>1</v>
      </c>
      <c r="T4" s="26">
        <v>0</v>
      </c>
      <c r="U4" s="26">
        <v>0</v>
      </c>
      <c r="V4" s="26">
        <v>0</v>
      </c>
      <c r="W4" s="26">
        <v>1</v>
      </c>
      <c r="X4" s="26">
        <v>0</v>
      </c>
      <c r="Y4" s="26">
        <v>0</v>
      </c>
      <c r="Z4" s="25">
        <v>2.0999999999999999E-3</v>
      </c>
      <c r="AA4" s="26">
        <v>100</v>
      </c>
      <c r="AB4" s="26">
        <v>16</v>
      </c>
      <c r="AC4" s="26">
        <v>624</v>
      </c>
      <c r="AD4" s="26">
        <v>3956</v>
      </c>
      <c r="AE4" s="26">
        <v>737</v>
      </c>
      <c r="AF4" s="27">
        <v>0</v>
      </c>
      <c r="AG4" s="24">
        <v>97.45</v>
      </c>
      <c r="AH4" s="27">
        <v>1</v>
      </c>
      <c r="AI4" s="26">
        <v>0</v>
      </c>
      <c r="AJ4" s="24">
        <v>97.24</v>
      </c>
      <c r="AK4" s="25">
        <v>0.1066</v>
      </c>
      <c r="AL4" s="28">
        <v>3.7699999999999997E-2</v>
      </c>
      <c r="AM4" s="28">
        <v>0.96179999999999999</v>
      </c>
      <c r="AN4" s="26">
        <v>0</v>
      </c>
      <c r="AO4" s="26">
        <v>9</v>
      </c>
      <c r="AP4" s="23">
        <v>34.47</v>
      </c>
      <c r="AQ4">
        <f t="shared" si="0"/>
        <v>100</v>
      </c>
    </row>
    <row r="5" spans="1:43" ht="16.5" x14ac:dyDescent="0.3">
      <c r="A5" s="21" t="s">
        <v>583</v>
      </c>
      <c r="B5" s="21" t="s">
        <v>584</v>
      </c>
      <c r="C5" s="21" t="s">
        <v>42</v>
      </c>
      <c r="D5" s="21" t="s">
        <v>581</v>
      </c>
      <c r="E5" s="21" t="s">
        <v>582</v>
      </c>
      <c r="F5" s="21" t="s">
        <v>581</v>
      </c>
      <c r="G5" s="21" t="s">
        <v>582</v>
      </c>
      <c r="H5" s="21" t="s">
        <v>591</v>
      </c>
      <c r="I5" s="21" t="s">
        <v>592</v>
      </c>
      <c r="J5" s="22">
        <v>1</v>
      </c>
      <c r="K5" s="23">
        <v>6.02</v>
      </c>
      <c r="L5" s="23">
        <v>26.45</v>
      </c>
      <c r="M5" s="24">
        <v>99.7</v>
      </c>
      <c r="N5" s="25">
        <v>0.97150000000000003</v>
      </c>
      <c r="O5" s="26">
        <v>0</v>
      </c>
      <c r="P5" s="24">
        <v>0.03</v>
      </c>
      <c r="Q5" s="25">
        <v>7.7999999999999996E-3</v>
      </c>
      <c r="R5" s="26">
        <v>0</v>
      </c>
      <c r="S5" s="26">
        <v>1</v>
      </c>
      <c r="T5" s="26">
        <v>0</v>
      </c>
      <c r="U5" s="26">
        <v>0</v>
      </c>
      <c r="V5" s="26">
        <v>0</v>
      </c>
      <c r="W5" s="26">
        <v>0</v>
      </c>
      <c r="X5" s="26">
        <v>0</v>
      </c>
      <c r="Y5" s="26">
        <v>0</v>
      </c>
      <c r="Z5" s="25">
        <v>2.8999999999999998E-3</v>
      </c>
      <c r="AA5" s="24">
        <v>99.72</v>
      </c>
      <c r="AB5" s="26">
        <v>55</v>
      </c>
      <c r="AC5" s="26">
        <v>363</v>
      </c>
      <c r="AD5" s="26">
        <v>3881</v>
      </c>
      <c r="AE5" s="26">
        <v>663</v>
      </c>
      <c r="AF5" s="27">
        <v>0</v>
      </c>
      <c r="AG5" s="24">
        <v>97.58</v>
      </c>
      <c r="AI5" s="26">
        <v>0</v>
      </c>
      <c r="AJ5" s="24">
        <v>94.62</v>
      </c>
      <c r="AK5" s="25">
        <v>0.1661</v>
      </c>
      <c r="AL5" s="28">
        <v>7.1999999999999998E-3</v>
      </c>
      <c r="AM5" s="28">
        <v>0.82269999999999999</v>
      </c>
      <c r="AN5" s="26">
        <v>0</v>
      </c>
      <c r="AO5" s="26">
        <v>8</v>
      </c>
      <c r="AP5" s="23">
        <v>32.14</v>
      </c>
      <c r="AQ5">
        <f t="shared" si="0"/>
        <v>100</v>
      </c>
    </row>
    <row r="6" spans="1:43" ht="16.5" x14ac:dyDescent="0.3">
      <c r="A6" s="21" t="s">
        <v>584</v>
      </c>
      <c r="B6" s="21" t="s">
        <v>593</v>
      </c>
      <c r="C6" s="21" t="s">
        <v>42</v>
      </c>
      <c r="D6" s="21" t="s">
        <v>581</v>
      </c>
      <c r="E6" s="21" t="s">
        <v>582</v>
      </c>
      <c r="F6" s="21" t="s">
        <v>581</v>
      </c>
      <c r="G6" s="21" t="s">
        <v>582</v>
      </c>
      <c r="H6" s="21" t="s">
        <v>585</v>
      </c>
      <c r="I6" s="21" t="s">
        <v>586</v>
      </c>
      <c r="J6" s="22">
        <v>1</v>
      </c>
      <c r="K6" s="23">
        <v>19.739999999999998</v>
      </c>
      <c r="L6" s="23">
        <v>126.48</v>
      </c>
      <c r="M6" s="24">
        <v>99.56</v>
      </c>
      <c r="N6" s="25">
        <v>0.97919999999999996</v>
      </c>
      <c r="O6" s="24">
        <v>0.28999999999999998</v>
      </c>
      <c r="P6" s="24">
        <v>0.04</v>
      </c>
      <c r="Q6" s="25">
        <v>1.09E-2</v>
      </c>
      <c r="R6" s="26">
        <v>4</v>
      </c>
      <c r="S6" s="26">
        <v>2</v>
      </c>
      <c r="T6" s="26">
        <v>0</v>
      </c>
      <c r="U6" s="26">
        <v>0</v>
      </c>
      <c r="V6" s="26">
        <v>2</v>
      </c>
      <c r="W6" s="26">
        <v>2</v>
      </c>
      <c r="X6" s="26">
        <v>0</v>
      </c>
      <c r="Y6" s="26">
        <v>2</v>
      </c>
      <c r="Z6" s="25">
        <v>2.3999999999999998E-3</v>
      </c>
      <c r="AA6" s="24">
        <v>99.6</v>
      </c>
      <c r="AB6" s="26">
        <v>5</v>
      </c>
      <c r="AC6" s="26">
        <v>1003</v>
      </c>
      <c r="AD6" s="26">
        <v>5387</v>
      </c>
      <c r="AE6" s="26">
        <v>735</v>
      </c>
      <c r="AF6" s="27">
        <v>0</v>
      </c>
      <c r="AG6" s="24">
        <v>98.2</v>
      </c>
      <c r="AH6" s="27">
        <v>0.5</v>
      </c>
      <c r="AI6" s="26">
        <v>0</v>
      </c>
      <c r="AJ6" s="24">
        <v>96.93</v>
      </c>
      <c r="AK6" s="25">
        <v>7.8100000000000003E-2</v>
      </c>
      <c r="AL6" s="28">
        <v>2.24E-2</v>
      </c>
      <c r="AM6" s="28">
        <v>0.95189999999999997</v>
      </c>
      <c r="AN6" s="26">
        <v>0</v>
      </c>
      <c r="AO6" s="26">
        <v>9</v>
      </c>
      <c r="AP6" s="23">
        <v>39.799999999999997</v>
      </c>
      <c r="AQ6">
        <f t="shared" si="0"/>
        <v>100</v>
      </c>
    </row>
    <row r="7" spans="1:43" ht="16.5" x14ac:dyDescent="0.3">
      <c r="A7" s="21" t="s">
        <v>584</v>
      </c>
      <c r="B7" s="21" t="s">
        <v>593</v>
      </c>
      <c r="C7" s="21" t="s">
        <v>42</v>
      </c>
      <c r="D7" s="21" t="s">
        <v>581</v>
      </c>
      <c r="E7" s="21" t="s">
        <v>582</v>
      </c>
      <c r="F7" s="21" t="s">
        <v>581</v>
      </c>
      <c r="G7" s="21" t="s">
        <v>582</v>
      </c>
      <c r="H7" s="21" t="s">
        <v>587</v>
      </c>
      <c r="I7" s="21" t="s">
        <v>588</v>
      </c>
      <c r="J7" s="22">
        <v>1</v>
      </c>
      <c r="K7" s="23">
        <v>11.14</v>
      </c>
      <c r="L7" s="23">
        <v>86.75</v>
      </c>
      <c r="M7" s="24">
        <v>99.52</v>
      </c>
      <c r="N7" s="25">
        <v>0.96450000000000002</v>
      </c>
      <c r="O7" s="24">
        <v>0.31</v>
      </c>
      <c r="P7" s="26">
        <v>0</v>
      </c>
      <c r="Q7" s="25">
        <v>1.9900000000000001E-2</v>
      </c>
      <c r="R7" s="26">
        <v>3</v>
      </c>
      <c r="S7" s="26">
        <v>0</v>
      </c>
      <c r="T7" s="26">
        <v>0</v>
      </c>
      <c r="U7" s="26">
        <v>0</v>
      </c>
      <c r="V7" s="26">
        <v>3</v>
      </c>
      <c r="W7" s="26">
        <v>0</v>
      </c>
      <c r="X7" s="26">
        <v>0</v>
      </c>
      <c r="Y7" s="26">
        <v>3</v>
      </c>
      <c r="Z7" s="25">
        <v>2.7000000000000001E-3</v>
      </c>
      <c r="AA7" s="24">
        <v>99.52</v>
      </c>
      <c r="AB7" s="26">
        <v>28</v>
      </c>
      <c r="AC7" s="26">
        <v>619</v>
      </c>
      <c r="AD7" s="26">
        <v>5496</v>
      </c>
      <c r="AE7" s="26">
        <v>655</v>
      </c>
      <c r="AF7" s="27">
        <v>0</v>
      </c>
      <c r="AG7" s="24">
        <v>94.88</v>
      </c>
      <c r="AH7" s="27">
        <v>0</v>
      </c>
      <c r="AI7" s="26">
        <v>0</v>
      </c>
      <c r="AJ7" s="24">
        <v>94.02</v>
      </c>
      <c r="AK7" s="25">
        <v>0.21149999999999999</v>
      </c>
      <c r="AL7" s="28">
        <v>2.3599999999999999E-2</v>
      </c>
      <c r="AM7" s="28">
        <v>0.93459999999999999</v>
      </c>
      <c r="AN7" s="26">
        <v>0</v>
      </c>
      <c r="AO7" s="26">
        <v>8</v>
      </c>
      <c r="AP7" s="23">
        <v>33.19</v>
      </c>
      <c r="AQ7">
        <f t="shared" si="0"/>
        <v>100</v>
      </c>
    </row>
    <row r="8" spans="1:43" ht="16.5" x14ac:dyDescent="0.3">
      <c r="A8" s="21" t="s">
        <v>584</v>
      </c>
      <c r="B8" s="21" t="s">
        <v>593</v>
      </c>
      <c r="C8" s="21" t="s">
        <v>42</v>
      </c>
      <c r="D8" s="21" t="s">
        <v>581</v>
      </c>
      <c r="E8" s="21" t="s">
        <v>582</v>
      </c>
      <c r="F8" s="21" t="s">
        <v>581</v>
      </c>
      <c r="G8" s="21" t="s">
        <v>582</v>
      </c>
      <c r="H8" s="21" t="s">
        <v>589</v>
      </c>
      <c r="I8" s="21" t="s">
        <v>590</v>
      </c>
      <c r="J8" s="22">
        <v>1</v>
      </c>
      <c r="K8" s="23">
        <v>12.38</v>
      </c>
      <c r="L8" s="23">
        <v>63.65</v>
      </c>
      <c r="M8" s="24">
        <v>99.33</v>
      </c>
      <c r="N8" s="25">
        <v>0.97899999999999998</v>
      </c>
      <c r="O8" s="24">
        <v>0.41</v>
      </c>
      <c r="P8" s="24">
        <v>0.1</v>
      </c>
      <c r="Q8" s="25">
        <v>1.14E-2</v>
      </c>
      <c r="R8" s="26">
        <v>4</v>
      </c>
      <c r="S8" s="26">
        <v>4</v>
      </c>
      <c r="T8" s="26">
        <v>0</v>
      </c>
      <c r="U8" s="26">
        <v>0</v>
      </c>
      <c r="V8" s="26">
        <v>4</v>
      </c>
      <c r="W8" s="26">
        <v>0</v>
      </c>
      <c r="X8" s="26">
        <v>0</v>
      </c>
      <c r="Y8" s="26">
        <v>4</v>
      </c>
      <c r="Z8" s="25">
        <v>2.8999999999999998E-3</v>
      </c>
      <c r="AA8" s="24">
        <v>99.43</v>
      </c>
      <c r="AB8" s="26">
        <v>9</v>
      </c>
      <c r="AC8" s="26">
        <v>701</v>
      </c>
      <c r="AD8" s="26">
        <v>4372</v>
      </c>
      <c r="AE8" s="26">
        <v>732</v>
      </c>
      <c r="AF8" s="27">
        <v>0</v>
      </c>
      <c r="AG8" s="24">
        <v>96.49</v>
      </c>
      <c r="AH8" s="27">
        <v>0</v>
      </c>
      <c r="AI8" s="26">
        <v>0</v>
      </c>
      <c r="AJ8" s="24">
        <v>97.24</v>
      </c>
      <c r="AK8" s="25">
        <v>0.11219999999999999</v>
      </c>
      <c r="AL8" s="28">
        <v>3.9600000000000003E-2</v>
      </c>
      <c r="AM8" s="28">
        <v>0.94189999999999996</v>
      </c>
      <c r="AN8" s="26">
        <v>0</v>
      </c>
      <c r="AO8" s="26">
        <v>9</v>
      </c>
      <c r="AP8" s="23">
        <v>40.369999999999997</v>
      </c>
      <c r="AQ8">
        <f t="shared" si="0"/>
        <v>100</v>
      </c>
    </row>
    <row r="9" spans="1:43" ht="16.5" x14ac:dyDescent="0.3">
      <c r="A9" s="21" t="s">
        <v>584</v>
      </c>
      <c r="B9" s="21" t="s">
        <v>593</v>
      </c>
      <c r="C9" s="21" t="s">
        <v>42</v>
      </c>
      <c r="D9" s="21" t="s">
        <v>581</v>
      </c>
      <c r="E9" s="21" t="s">
        <v>582</v>
      </c>
      <c r="F9" s="21" t="s">
        <v>581</v>
      </c>
      <c r="G9" s="21" t="s">
        <v>582</v>
      </c>
      <c r="H9" s="21" t="s">
        <v>591</v>
      </c>
      <c r="I9" s="21" t="s">
        <v>592</v>
      </c>
      <c r="J9" s="22">
        <v>1</v>
      </c>
      <c r="K9" s="23">
        <v>6.06</v>
      </c>
      <c r="L9" s="23">
        <v>30.89</v>
      </c>
      <c r="M9" s="24">
        <v>98.83</v>
      </c>
      <c r="N9" s="25">
        <v>0.96350000000000002</v>
      </c>
      <c r="O9" s="26">
        <v>0</v>
      </c>
      <c r="P9" s="26">
        <v>0</v>
      </c>
      <c r="Q9" s="25">
        <v>1.04E-2</v>
      </c>
      <c r="R9" s="26">
        <v>0</v>
      </c>
      <c r="S9" s="26">
        <v>0</v>
      </c>
      <c r="T9" s="26">
        <v>0</v>
      </c>
      <c r="U9" s="26">
        <v>0</v>
      </c>
      <c r="V9" s="26">
        <v>0</v>
      </c>
      <c r="W9" s="26">
        <v>0</v>
      </c>
      <c r="X9" s="26">
        <v>0</v>
      </c>
      <c r="Y9" s="26">
        <v>0</v>
      </c>
      <c r="Z9" s="25">
        <v>3.3999999999999998E-3</v>
      </c>
      <c r="AA9" s="24">
        <v>98.83</v>
      </c>
      <c r="AB9" s="26">
        <v>43</v>
      </c>
      <c r="AC9" s="26">
        <v>343</v>
      </c>
      <c r="AD9" s="26">
        <v>4142</v>
      </c>
      <c r="AE9" s="26">
        <v>658</v>
      </c>
      <c r="AF9" s="27">
        <v>0</v>
      </c>
      <c r="AG9" s="24">
        <v>97.16</v>
      </c>
      <c r="AI9" s="26">
        <v>0</v>
      </c>
      <c r="AJ9" s="24">
        <v>94.56</v>
      </c>
      <c r="AK9" s="25">
        <v>0.14580000000000001</v>
      </c>
      <c r="AL9" s="28">
        <v>1.41E-2</v>
      </c>
      <c r="AM9" s="28">
        <v>0.86950000000000005</v>
      </c>
      <c r="AN9" s="26">
        <v>0</v>
      </c>
      <c r="AO9" s="26">
        <v>8</v>
      </c>
      <c r="AP9" s="23">
        <v>31.89</v>
      </c>
      <c r="AQ9">
        <f t="shared" si="0"/>
        <v>100</v>
      </c>
    </row>
    <row r="10" spans="1:43" ht="16.5" x14ac:dyDescent="0.3">
      <c r="A10" s="21" t="s">
        <v>593</v>
      </c>
      <c r="B10" s="21" t="s">
        <v>594</v>
      </c>
      <c r="C10" s="21" t="s">
        <v>42</v>
      </c>
      <c r="D10" s="21" t="s">
        <v>581</v>
      </c>
      <c r="E10" s="21" t="s">
        <v>582</v>
      </c>
      <c r="F10" s="21" t="s">
        <v>581</v>
      </c>
      <c r="G10" s="21" t="s">
        <v>582</v>
      </c>
      <c r="H10" s="21" t="s">
        <v>585</v>
      </c>
      <c r="I10" s="21" t="s">
        <v>586</v>
      </c>
      <c r="J10" s="22">
        <v>1</v>
      </c>
      <c r="K10" s="23">
        <v>17.22</v>
      </c>
      <c r="L10" s="23">
        <v>148.44999999999999</v>
      </c>
      <c r="M10" s="24">
        <v>99.8</v>
      </c>
      <c r="N10" s="25">
        <v>0.97919999999999996</v>
      </c>
      <c r="O10" s="24">
        <v>0.44</v>
      </c>
      <c r="P10" s="24">
        <v>0.02</v>
      </c>
      <c r="Q10" s="25">
        <v>1.2699999999999999E-2</v>
      </c>
      <c r="R10" s="26">
        <v>5</v>
      </c>
      <c r="S10" s="26">
        <v>1</v>
      </c>
      <c r="T10" s="26">
        <v>0</v>
      </c>
      <c r="U10" s="26">
        <v>0</v>
      </c>
      <c r="V10" s="26">
        <v>5</v>
      </c>
      <c r="W10" s="26">
        <v>0</v>
      </c>
      <c r="X10" s="26">
        <v>0</v>
      </c>
      <c r="Y10" s="26">
        <v>5</v>
      </c>
      <c r="Z10" s="25">
        <v>3.0000000000000001E-3</v>
      </c>
      <c r="AA10" s="24">
        <v>99.82</v>
      </c>
      <c r="AB10" s="26">
        <v>10</v>
      </c>
      <c r="AC10" s="26">
        <v>1084</v>
      </c>
      <c r="AD10" s="26">
        <v>5410</v>
      </c>
      <c r="AE10" s="26">
        <v>738</v>
      </c>
      <c r="AF10" s="27">
        <v>0</v>
      </c>
      <c r="AG10" s="24">
        <v>98.93</v>
      </c>
      <c r="AH10" s="27">
        <v>0</v>
      </c>
      <c r="AI10" s="26">
        <v>0</v>
      </c>
      <c r="AJ10" s="24">
        <v>96.56</v>
      </c>
      <c r="AK10" s="25">
        <v>6.3799999999999996E-2</v>
      </c>
      <c r="AL10" s="28">
        <v>2.2700000000000001E-2</v>
      </c>
      <c r="AM10" s="28">
        <v>0.9708</v>
      </c>
      <c r="AN10" s="26">
        <v>0</v>
      </c>
      <c r="AO10" s="26">
        <v>9</v>
      </c>
      <c r="AP10" s="23">
        <v>39.46</v>
      </c>
      <c r="AQ10">
        <f t="shared" si="0"/>
        <v>100</v>
      </c>
    </row>
    <row r="11" spans="1:43" ht="16.5" x14ac:dyDescent="0.3">
      <c r="A11" s="21" t="s">
        <v>593</v>
      </c>
      <c r="B11" s="21" t="s">
        <v>594</v>
      </c>
      <c r="C11" s="21" t="s">
        <v>42</v>
      </c>
      <c r="D11" s="21" t="s">
        <v>581</v>
      </c>
      <c r="E11" s="21" t="s">
        <v>582</v>
      </c>
      <c r="F11" s="21" t="s">
        <v>581</v>
      </c>
      <c r="G11" s="21" t="s">
        <v>582</v>
      </c>
      <c r="H11" s="21" t="s">
        <v>587</v>
      </c>
      <c r="I11" s="21" t="s">
        <v>588</v>
      </c>
      <c r="J11" s="22">
        <v>1</v>
      </c>
      <c r="K11" s="23">
        <v>10.19</v>
      </c>
      <c r="L11" s="23">
        <v>76.209999999999994</v>
      </c>
      <c r="M11" s="24">
        <v>99.32</v>
      </c>
      <c r="N11" s="25">
        <v>0.96689999999999998</v>
      </c>
      <c r="O11" s="24">
        <v>0.17</v>
      </c>
      <c r="P11" s="24">
        <v>0.02</v>
      </c>
      <c r="Q11" s="25">
        <v>1.24E-2</v>
      </c>
      <c r="R11" s="26">
        <v>2</v>
      </c>
      <c r="S11" s="26">
        <v>1</v>
      </c>
      <c r="T11" s="26">
        <v>0</v>
      </c>
      <c r="U11" s="26">
        <v>0</v>
      </c>
      <c r="V11" s="26">
        <v>1</v>
      </c>
      <c r="W11" s="26">
        <v>1</v>
      </c>
      <c r="X11" s="26">
        <v>0</v>
      </c>
      <c r="Y11" s="26">
        <v>1</v>
      </c>
      <c r="Z11" s="25">
        <v>3.0999999999999999E-3</v>
      </c>
      <c r="AA11" s="24">
        <v>99.34</v>
      </c>
      <c r="AB11" s="26">
        <v>30</v>
      </c>
      <c r="AC11" s="26">
        <v>603</v>
      </c>
      <c r="AD11" s="26">
        <v>5100</v>
      </c>
      <c r="AE11" s="26">
        <v>656</v>
      </c>
      <c r="AF11" s="27">
        <v>0</v>
      </c>
      <c r="AG11" s="24">
        <v>93.86</v>
      </c>
      <c r="AH11" s="27">
        <v>0.5</v>
      </c>
      <c r="AI11" s="26">
        <v>0</v>
      </c>
      <c r="AJ11" s="24">
        <v>94.89</v>
      </c>
      <c r="AK11" s="25">
        <v>0.20910000000000001</v>
      </c>
      <c r="AL11" s="28">
        <v>2.47E-2</v>
      </c>
      <c r="AM11" s="28">
        <v>0.93530000000000002</v>
      </c>
      <c r="AN11" s="26">
        <v>0</v>
      </c>
      <c r="AO11" s="26">
        <v>8</v>
      </c>
      <c r="AP11" s="23">
        <v>29.79</v>
      </c>
      <c r="AQ11">
        <f t="shared" si="0"/>
        <v>100</v>
      </c>
    </row>
    <row r="12" spans="1:43" ht="16.5" x14ac:dyDescent="0.3">
      <c r="A12" s="21" t="s">
        <v>593</v>
      </c>
      <c r="B12" s="21" t="s">
        <v>594</v>
      </c>
      <c r="C12" s="21" t="s">
        <v>42</v>
      </c>
      <c r="D12" s="21" t="s">
        <v>581</v>
      </c>
      <c r="E12" s="21" t="s">
        <v>582</v>
      </c>
      <c r="F12" s="21" t="s">
        <v>581</v>
      </c>
      <c r="G12" s="21" t="s">
        <v>582</v>
      </c>
      <c r="H12" s="21" t="s">
        <v>589</v>
      </c>
      <c r="I12" s="21" t="s">
        <v>590</v>
      </c>
      <c r="J12" s="22">
        <v>1</v>
      </c>
      <c r="K12" s="23">
        <v>12.19</v>
      </c>
      <c r="L12" s="23">
        <v>45.99</v>
      </c>
      <c r="M12" s="24">
        <v>99.36</v>
      </c>
      <c r="N12" s="25">
        <v>0.97699999999999998</v>
      </c>
      <c r="O12" s="24">
        <v>0.15</v>
      </c>
      <c r="P12" s="24">
        <v>0.03</v>
      </c>
      <c r="Q12" s="25">
        <v>9.7000000000000003E-3</v>
      </c>
      <c r="R12" s="26">
        <v>3</v>
      </c>
      <c r="S12" s="26">
        <v>1</v>
      </c>
      <c r="T12" s="26">
        <v>0</v>
      </c>
      <c r="U12" s="26">
        <v>0</v>
      </c>
      <c r="V12" s="26">
        <v>0</v>
      </c>
      <c r="W12" s="26">
        <v>3</v>
      </c>
      <c r="X12" s="26">
        <v>0</v>
      </c>
      <c r="Y12" s="26">
        <v>0</v>
      </c>
      <c r="Z12" s="25">
        <v>2.3999999999999998E-3</v>
      </c>
      <c r="AA12" s="24">
        <v>99.39</v>
      </c>
      <c r="AB12" s="26">
        <v>17</v>
      </c>
      <c r="AC12" s="26">
        <v>652</v>
      </c>
      <c r="AD12" s="26">
        <v>4056</v>
      </c>
      <c r="AE12" s="26">
        <v>738</v>
      </c>
      <c r="AF12" s="27">
        <v>0</v>
      </c>
      <c r="AG12" s="24">
        <v>96.42</v>
      </c>
      <c r="AH12" s="27">
        <v>1</v>
      </c>
      <c r="AI12" s="26">
        <v>0</v>
      </c>
      <c r="AJ12" s="24">
        <v>96.39</v>
      </c>
      <c r="AK12" s="25">
        <v>0.11890000000000001</v>
      </c>
      <c r="AL12" s="28">
        <v>5.7099999999999998E-2</v>
      </c>
      <c r="AM12" s="28">
        <v>0.95189999999999997</v>
      </c>
      <c r="AN12" s="26">
        <v>0</v>
      </c>
      <c r="AO12" s="26">
        <v>9</v>
      </c>
      <c r="AP12" s="23">
        <v>37.29</v>
      </c>
      <c r="AQ12">
        <f t="shared" si="0"/>
        <v>100</v>
      </c>
    </row>
    <row r="13" spans="1:43" ht="16.5" x14ac:dyDescent="0.3">
      <c r="A13" s="21" t="s">
        <v>593</v>
      </c>
      <c r="B13" s="21" t="s">
        <v>594</v>
      </c>
      <c r="C13" s="21" t="s">
        <v>42</v>
      </c>
      <c r="D13" s="21" t="s">
        <v>581</v>
      </c>
      <c r="E13" s="21" t="s">
        <v>582</v>
      </c>
      <c r="F13" s="21" t="s">
        <v>581</v>
      </c>
      <c r="G13" s="21" t="s">
        <v>582</v>
      </c>
      <c r="H13" s="21" t="s">
        <v>591</v>
      </c>
      <c r="I13" s="21" t="s">
        <v>592</v>
      </c>
      <c r="J13" s="22">
        <v>1</v>
      </c>
      <c r="K13" s="23">
        <v>5.81</v>
      </c>
      <c r="L13" s="23">
        <v>29.42</v>
      </c>
      <c r="M13" s="24">
        <v>99.75</v>
      </c>
      <c r="N13" s="25">
        <v>0.97130000000000005</v>
      </c>
      <c r="O13" s="26">
        <v>0</v>
      </c>
      <c r="P13" s="26">
        <v>0</v>
      </c>
      <c r="Q13" s="25">
        <v>8.2000000000000007E-3</v>
      </c>
      <c r="R13" s="26">
        <v>0</v>
      </c>
      <c r="S13" s="26">
        <v>0</v>
      </c>
      <c r="T13" s="26">
        <v>0</v>
      </c>
      <c r="U13" s="26">
        <v>0</v>
      </c>
      <c r="V13" s="26">
        <v>0</v>
      </c>
      <c r="W13" s="26">
        <v>0</v>
      </c>
      <c r="X13" s="26">
        <v>0</v>
      </c>
      <c r="Y13" s="26">
        <v>0</v>
      </c>
      <c r="Z13" s="25">
        <v>3.8E-3</v>
      </c>
      <c r="AA13" s="24">
        <v>99.75</v>
      </c>
      <c r="AB13" s="26">
        <v>58</v>
      </c>
      <c r="AC13" s="26">
        <v>402</v>
      </c>
      <c r="AD13" s="26">
        <v>3917</v>
      </c>
      <c r="AE13" s="26">
        <v>662</v>
      </c>
      <c r="AF13" s="27">
        <v>0</v>
      </c>
      <c r="AG13" s="24">
        <v>97.34</v>
      </c>
      <c r="AI13" s="26">
        <v>0</v>
      </c>
      <c r="AJ13" s="24">
        <v>93.99</v>
      </c>
      <c r="AK13" s="25">
        <v>0.20419999999999999</v>
      </c>
      <c r="AL13" s="28">
        <v>8.3000000000000001E-3</v>
      </c>
      <c r="AM13" s="28">
        <v>0.86850000000000005</v>
      </c>
      <c r="AN13" s="26">
        <v>0</v>
      </c>
      <c r="AO13" s="26">
        <v>8</v>
      </c>
      <c r="AP13" s="23">
        <v>31.56</v>
      </c>
      <c r="AQ13">
        <f t="shared" si="0"/>
        <v>100</v>
      </c>
    </row>
    <row r="14" spans="1:43" ht="16.5" x14ac:dyDescent="0.3">
      <c r="A14" s="21" t="s">
        <v>594</v>
      </c>
      <c r="B14" s="21" t="s">
        <v>595</v>
      </c>
      <c r="C14" s="21" t="s">
        <v>42</v>
      </c>
      <c r="D14" s="21" t="s">
        <v>581</v>
      </c>
      <c r="E14" s="21" t="s">
        <v>582</v>
      </c>
      <c r="F14" s="21" t="s">
        <v>581</v>
      </c>
      <c r="G14" s="21" t="s">
        <v>582</v>
      </c>
      <c r="H14" s="21" t="s">
        <v>585</v>
      </c>
      <c r="I14" s="21" t="s">
        <v>586</v>
      </c>
      <c r="J14" s="22">
        <v>1</v>
      </c>
      <c r="K14" s="23">
        <v>17.329999999999998</v>
      </c>
      <c r="L14" s="29">
        <v>205</v>
      </c>
      <c r="M14" s="24">
        <v>99.37</v>
      </c>
      <c r="N14" s="25">
        <v>0.97589999999999999</v>
      </c>
      <c r="O14" s="24">
        <v>0.28000000000000003</v>
      </c>
      <c r="P14" s="24">
        <v>0.05</v>
      </c>
      <c r="Q14" s="25">
        <v>1.1900000000000001E-2</v>
      </c>
      <c r="R14" s="26">
        <v>4</v>
      </c>
      <c r="S14" s="26">
        <v>3</v>
      </c>
      <c r="T14" s="26">
        <v>0</v>
      </c>
      <c r="U14" s="26">
        <v>0</v>
      </c>
      <c r="V14" s="26">
        <v>4</v>
      </c>
      <c r="W14" s="26">
        <v>0</v>
      </c>
      <c r="X14" s="26">
        <v>0</v>
      </c>
      <c r="Y14" s="26">
        <v>4</v>
      </c>
      <c r="Z14" s="25">
        <v>3.2000000000000002E-3</v>
      </c>
      <c r="AA14" s="24">
        <v>99.42</v>
      </c>
      <c r="AB14" s="26">
        <v>5</v>
      </c>
      <c r="AC14" s="26">
        <v>1042</v>
      </c>
      <c r="AD14" s="26">
        <v>6152</v>
      </c>
      <c r="AE14" s="26">
        <v>737</v>
      </c>
      <c r="AF14" s="27">
        <v>0</v>
      </c>
      <c r="AG14" s="24">
        <v>97.22</v>
      </c>
      <c r="AH14" s="27">
        <v>0</v>
      </c>
      <c r="AI14" s="26">
        <v>0</v>
      </c>
      <c r="AJ14" s="24">
        <v>96.98</v>
      </c>
      <c r="AK14" s="25">
        <v>6.3100000000000003E-2</v>
      </c>
      <c r="AL14" s="28">
        <v>3.8800000000000001E-2</v>
      </c>
      <c r="AM14" s="28">
        <v>0.95879999999999999</v>
      </c>
      <c r="AN14" s="26">
        <v>0</v>
      </c>
      <c r="AO14" s="26">
        <v>9</v>
      </c>
      <c r="AP14" s="23">
        <v>42.45</v>
      </c>
      <c r="AQ14">
        <f t="shared" si="0"/>
        <v>100</v>
      </c>
    </row>
    <row r="15" spans="1:43" ht="16.5" x14ac:dyDescent="0.3">
      <c r="A15" s="21" t="s">
        <v>594</v>
      </c>
      <c r="B15" s="21" t="s">
        <v>595</v>
      </c>
      <c r="C15" s="21" t="s">
        <v>42</v>
      </c>
      <c r="D15" s="21" t="s">
        <v>581</v>
      </c>
      <c r="E15" s="21" t="s">
        <v>582</v>
      </c>
      <c r="F15" s="21" t="s">
        <v>581</v>
      </c>
      <c r="G15" s="21" t="s">
        <v>582</v>
      </c>
      <c r="H15" s="21" t="s">
        <v>587</v>
      </c>
      <c r="I15" s="21" t="s">
        <v>588</v>
      </c>
      <c r="J15" s="22">
        <v>1</v>
      </c>
      <c r="K15" s="23">
        <v>9.9499999999999993</v>
      </c>
      <c r="L15" s="23">
        <v>75.709999999999994</v>
      </c>
      <c r="M15" s="24">
        <v>99.49</v>
      </c>
      <c r="N15" s="25">
        <v>0.95730000000000004</v>
      </c>
      <c r="O15" s="26">
        <v>0</v>
      </c>
      <c r="P15" s="24">
        <v>0.02</v>
      </c>
      <c r="Q15" s="25">
        <v>1.7500000000000002E-2</v>
      </c>
      <c r="R15" s="26">
        <v>0</v>
      </c>
      <c r="S15" s="26">
        <v>1</v>
      </c>
      <c r="T15" s="26">
        <v>0</v>
      </c>
      <c r="U15" s="26">
        <v>0</v>
      </c>
      <c r="V15" s="26">
        <v>0</v>
      </c>
      <c r="W15" s="26">
        <v>0</v>
      </c>
      <c r="X15" s="26">
        <v>0</v>
      </c>
      <c r="Y15" s="26">
        <v>0</v>
      </c>
      <c r="Z15" s="25">
        <v>2.5000000000000001E-3</v>
      </c>
      <c r="AA15" s="24">
        <v>99.51</v>
      </c>
      <c r="AB15" s="26">
        <v>46</v>
      </c>
      <c r="AC15" s="26">
        <v>617</v>
      </c>
      <c r="AD15" s="26">
        <v>5561</v>
      </c>
      <c r="AE15" s="26">
        <v>649</v>
      </c>
      <c r="AF15" s="27">
        <v>0</v>
      </c>
      <c r="AG15" s="24">
        <v>97.04</v>
      </c>
      <c r="AI15" s="26">
        <v>0</v>
      </c>
      <c r="AJ15" s="24">
        <v>95.63</v>
      </c>
      <c r="AK15" s="25">
        <v>0.21329999999999999</v>
      </c>
      <c r="AL15" s="28">
        <v>2.47E-2</v>
      </c>
      <c r="AM15" s="28">
        <v>0.94940000000000002</v>
      </c>
      <c r="AN15" s="26">
        <v>0</v>
      </c>
      <c r="AO15" s="26">
        <v>8</v>
      </c>
      <c r="AP15" s="23">
        <v>30.73</v>
      </c>
      <c r="AQ15">
        <f t="shared" si="0"/>
        <v>100</v>
      </c>
    </row>
    <row r="16" spans="1:43" ht="16.5" x14ac:dyDescent="0.3">
      <c r="A16" s="21" t="s">
        <v>594</v>
      </c>
      <c r="B16" s="21" t="s">
        <v>595</v>
      </c>
      <c r="C16" s="21" t="s">
        <v>42</v>
      </c>
      <c r="D16" s="21" t="s">
        <v>581</v>
      </c>
      <c r="E16" s="21" t="s">
        <v>582</v>
      </c>
      <c r="F16" s="21" t="s">
        <v>581</v>
      </c>
      <c r="G16" s="21" t="s">
        <v>582</v>
      </c>
      <c r="H16" s="21" t="s">
        <v>589</v>
      </c>
      <c r="I16" s="21" t="s">
        <v>590</v>
      </c>
      <c r="J16" s="22">
        <v>0.8</v>
      </c>
      <c r="K16" s="23">
        <v>9.41</v>
      </c>
      <c r="L16" s="23">
        <v>64.31</v>
      </c>
      <c r="M16" s="24">
        <v>99.79</v>
      </c>
      <c r="N16" s="25">
        <v>0.97650000000000003</v>
      </c>
      <c r="O16" s="24">
        <v>1.19</v>
      </c>
      <c r="P16" s="24">
        <v>0.03</v>
      </c>
      <c r="Q16" s="25">
        <v>8.8000000000000005E-3</v>
      </c>
      <c r="R16" s="26">
        <v>8</v>
      </c>
      <c r="S16" s="26">
        <v>1</v>
      </c>
      <c r="T16" s="26">
        <v>0</v>
      </c>
      <c r="U16" s="26">
        <v>0</v>
      </c>
      <c r="V16" s="26">
        <v>1</v>
      </c>
      <c r="W16" s="26">
        <v>2</v>
      </c>
      <c r="X16" s="26">
        <v>5</v>
      </c>
      <c r="Y16" s="26">
        <v>1</v>
      </c>
      <c r="Z16" s="25">
        <v>2.7000000000000001E-3</v>
      </c>
      <c r="AA16" s="24">
        <v>99.82</v>
      </c>
      <c r="AB16" s="26">
        <v>10</v>
      </c>
      <c r="AC16" s="26">
        <v>555</v>
      </c>
      <c r="AD16" s="26">
        <v>3875</v>
      </c>
      <c r="AE16" s="26">
        <v>566</v>
      </c>
      <c r="AF16" s="27">
        <v>0</v>
      </c>
      <c r="AG16" s="24">
        <v>95.54</v>
      </c>
      <c r="AH16" s="27">
        <v>0.25</v>
      </c>
      <c r="AI16" s="26">
        <v>0</v>
      </c>
      <c r="AJ16" s="24">
        <v>97.53</v>
      </c>
      <c r="AK16" s="25">
        <v>9.0200000000000002E-2</v>
      </c>
      <c r="AL16" s="28">
        <v>5.2499999999999998E-2</v>
      </c>
      <c r="AM16" s="28">
        <v>0.95579999999999998</v>
      </c>
      <c r="AN16" s="26">
        <v>2337</v>
      </c>
      <c r="AO16" s="26">
        <v>7</v>
      </c>
      <c r="AP16" s="23">
        <v>39.14</v>
      </c>
      <c r="AQ16">
        <f t="shared" si="0"/>
        <v>80</v>
      </c>
    </row>
    <row r="17" spans="1:43" ht="16.5" x14ac:dyDescent="0.3">
      <c r="A17" s="21" t="s">
        <v>594</v>
      </c>
      <c r="B17" s="21" t="s">
        <v>595</v>
      </c>
      <c r="C17" s="21" t="s">
        <v>42</v>
      </c>
      <c r="D17" s="21" t="s">
        <v>581</v>
      </c>
      <c r="E17" s="21" t="s">
        <v>582</v>
      </c>
      <c r="F17" s="21" t="s">
        <v>581</v>
      </c>
      <c r="G17" s="21" t="s">
        <v>582</v>
      </c>
      <c r="H17" s="21" t="s">
        <v>591</v>
      </c>
      <c r="I17" s="21" t="s">
        <v>592</v>
      </c>
      <c r="J17" s="22">
        <v>1</v>
      </c>
      <c r="K17" s="23">
        <v>7.2</v>
      </c>
      <c r="L17" s="23">
        <v>60.05</v>
      </c>
      <c r="M17" s="24">
        <v>99.78</v>
      </c>
      <c r="N17" s="25">
        <v>0.95320000000000005</v>
      </c>
      <c r="O17" s="26">
        <v>0</v>
      </c>
      <c r="P17" s="26">
        <v>0</v>
      </c>
      <c r="Q17" s="25">
        <v>1.5900000000000001E-2</v>
      </c>
      <c r="R17" s="26">
        <v>3</v>
      </c>
      <c r="S17" s="26">
        <v>0</v>
      </c>
      <c r="T17" s="26">
        <v>0</v>
      </c>
      <c r="U17" s="26">
        <v>0</v>
      </c>
      <c r="V17" s="26">
        <v>2</v>
      </c>
      <c r="W17" s="26">
        <v>1</v>
      </c>
      <c r="X17" s="26">
        <v>0</v>
      </c>
      <c r="Y17" s="26">
        <v>2</v>
      </c>
      <c r="Z17" s="25">
        <v>4.4000000000000003E-3</v>
      </c>
      <c r="AA17" s="24">
        <v>99.78</v>
      </c>
      <c r="AB17" s="26">
        <v>39</v>
      </c>
      <c r="AC17" s="26">
        <v>459</v>
      </c>
      <c r="AD17" s="26">
        <v>6137</v>
      </c>
      <c r="AE17" s="26">
        <v>653</v>
      </c>
      <c r="AF17" s="27">
        <v>0</v>
      </c>
      <c r="AG17" s="24">
        <v>94.71</v>
      </c>
      <c r="AH17" s="25">
        <v>0.33329999999999999</v>
      </c>
      <c r="AI17" s="26">
        <v>0</v>
      </c>
      <c r="AJ17" s="24">
        <v>93.01</v>
      </c>
      <c r="AK17" s="25">
        <v>0.1623</v>
      </c>
      <c r="AL17" s="28">
        <v>2.23E-2</v>
      </c>
      <c r="AM17" s="28">
        <v>0.8962</v>
      </c>
      <c r="AN17" s="26">
        <v>0</v>
      </c>
      <c r="AO17" s="26">
        <v>8</v>
      </c>
      <c r="AP17" s="23">
        <v>30.42</v>
      </c>
      <c r="AQ17">
        <f t="shared" si="0"/>
        <v>100</v>
      </c>
    </row>
    <row r="18" spans="1:43" ht="16.5" x14ac:dyDescent="0.3">
      <c r="A18" s="21" t="s">
        <v>595</v>
      </c>
      <c r="B18" s="21" t="s">
        <v>596</v>
      </c>
      <c r="C18" s="21" t="s">
        <v>42</v>
      </c>
      <c r="D18" s="21" t="s">
        <v>581</v>
      </c>
      <c r="E18" s="21" t="s">
        <v>582</v>
      </c>
      <c r="F18" s="21" t="s">
        <v>581</v>
      </c>
      <c r="G18" s="21" t="s">
        <v>582</v>
      </c>
      <c r="H18" s="21" t="s">
        <v>585</v>
      </c>
      <c r="I18" s="21" t="s">
        <v>586</v>
      </c>
      <c r="J18" s="22">
        <v>1</v>
      </c>
      <c r="K18" s="23">
        <v>16.97</v>
      </c>
      <c r="L18" s="23">
        <v>145.57</v>
      </c>
      <c r="M18" s="24">
        <v>99.53</v>
      </c>
      <c r="N18" s="25">
        <v>0.97819999999999996</v>
      </c>
      <c r="O18" s="24">
        <v>0.31</v>
      </c>
      <c r="P18" s="24">
        <v>0.06</v>
      </c>
      <c r="Q18" s="25">
        <v>1.2999999999999999E-2</v>
      </c>
      <c r="R18" s="26">
        <v>5</v>
      </c>
      <c r="S18" s="26">
        <v>3</v>
      </c>
      <c r="T18" s="26">
        <v>0</v>
      </c>
      <c r="U18" s="26">
        <v>0</v>
      </c>
      <c r="V18" s="26">
        <v>4</v>
      </c>
      <c r="W18" s="26">
        <v>1</v>
      </c>
      <c r="X18" s="26">
        <v>0</v>
      </c>
      <c r="Y18" s="26">
        <v>4</v>
      </c>
      <c r="Z18" s="25">
        <v>2.5000000000000001E-3</v>
      </c>
      <c r="AA18" s="24">
        <v>99.58</v>
      </c>
      <c r="AB18" s="26">
        <v>5</v>
      </c>
      <c r="AC18" s="26">
        <v>960</v>
      </c>
      <c r="AD18" s="26">
        <v>5609</v>
      </c>
      <c r="AE18" s="26">
        <v>736</v>
      </c>
      <c r="AF18" s="27">
        <v>0</v>
      </c>
      <c r="AG18" s="24">
        <v>98.61</v>
      </c>
      <c r="AH18" s="27">
        <v>0.2</v>
      </c>
      <c r="AI18" s="26">
        <v>0</v>
      </c>
      <c r="AJ18" s="24">
        <v>97.48</v>
      </c>
      <c r="AK18" s="25">
        <v>7.1499999999999994E-2</v>
      </c>
      <c r="AL18" s="28">
        <v>3.39E-2</v>
      </c>
      <c r="AM18" s="28">
        <v>0.94599999999999995</v>
      </c>
      <c r="AN18" s="26">
        <v>0</v>
      </c>
      <c r="AO18" s="26">
        <v>9</v>
      </c>
      <c r="AP18" s="23">
        <v>40.06</v>
      </c>
      <c r="AQ18">
        <f t="shared" si="0"/>
        <v>100</v>
      </c>
    </row>
    <row r="19" spans="1:43" ht="16.5" x14ac:dyDescent="0.3">
      <c r="A19" s="21" t="s">
        <v>595</v>
      </c>
      <c r="B19" s="21" t="s">
        <v>596</v>
      </c>
      <c r="C19" s="21" t="s">
        <v>42</v>
      </c>
      <c r="D19" s="21" t="s">
        <v>581</v>
      </c>
      <c r="E19" s="21" t="s">
        <v>582</v>
      </c>
      <c r="F19" s="21" t="s">
        <v>581</v>
      </c>
      <c r="G19" s="21" t="s">
        <v>582</v>
      </c>
      <c r="H19" s="21" t="s">
        <v>587</v>
      </c>
      <c r="I19" s="21" t="s">
        <v>588</v>
      </c>
      <c r="J19" s="22">
        <v>1</v>
      </c>
      <c r="K19" s="23">
        <v>10.18</v>
      </c>
      <c r="L19" s="23">
        <v>106.41</v>
      </c>
      <c r="M19" s="24">
        <v>99.84</v>
      </c>
      <c r="N19" s="25">
        <v>0.97289999999999999</v>
      </c>
      <c r="O19" s="26">
        <v>0</v>
      </c>
      <c r="P19" s="26">
        <v>0</v>
      </c>
      <c r="Q19" s="25">
        <v>1.7000000000000001E-2</v>
      </c>
      <c r="R19" s="26">
        <v>0</v>
      </c>
      <c r="S19" s="26">
        <v>0</v>
      </c>
      <c r="T19" s="26">
        <v>0</v>
      </c>
      <c r="U19" s="26">
        <v>0</v>
      </c>
      <c r="V19" s="26">
        <v>0</v>
      </c>
      <c r="W19" s="26">
        <v>0</v>
      </c>
      <c r="X19" s="26">
        <v>0</v>
      </c>
      <c r="Y19" s="26">
        <v>0</v>
      </c>
      <c r="Z19" s="25">
        <v>3.0999999999999999E-3</v>
      </c>
      <c r="AA19" s="24">
        <v>99.84</v>
      </c>
      <c r="AB19" s="26">
        <v>55</v>
      </c>
      <c r="AC19" s="26">
        <v>611</v>
      </c>
      <c r="AD19" s="26">
        <v>5132</v>
      </c>
      <c r="AE19" s="26">
        <v>651</v>
      </c>
      <c r="AF19" s="27">
        <v>0</v>
      </c>
      <c r="AG19" s="24">
        <v>95.98</v>
      </c>
      <c r="AI19" s="26">
        <v>0</v>
      </c>
      <c r="AJ19" s="24">
        <v>95.38</v>
      </c>
      <c r="AK19" s="25">
        <v>0.20219999999999999</v>
      </c>
      <c r="AL19" s="28">
        <v>3.1600000000000003E-2</v>
      </c>
      <c r="AM19" s="28">
        <v>0.91749999999999998</v>
      </c>
      <c r="AN19" s="26">
        <v>0</v>
      </c>
      <c r="AO19" s="26">
        <v>8</v>
      </c>
      <c r="AP19" s="23">
        <v>34.18</v>
      </c>
      <c r="AQ19">
        <f t="shared" si="0"/>
        <v>100</v>
      </c>
    </row>
    <row r="20" spans="1:43" ht="16.5" x14ac:dyDescent="0.3">
      <c r="A20" s="21" t="s">
        <v>595</v>
      </c>
      <c r="B20" s="21" t="s">
        <v>596</v>
      </c>
      <c r="C20" s="21" t="s">
        <v>42</v>
      </c>
      <c r="D20" s="21" t="s">
        <v>581</v>
      </c>
      <c r="E20" s="21" t="s">
        <v>582</v>
      </c>
      <c r="F20" s="21" t="s">
        <v>581</v>
      </c>
      <c r="G20" s="21" t="s">
        <v>582</v>
      </c>
      <c r="H20" s="21" t="s">
        <v>589</v>
      </c>
      <c r="I20" s="21" t="s">
        <v>590</v>
      </c>
      <c r="J20" s="28">
        <v>0.94579999999999997</v>
      </c>
      <c r="K20" s="23">
        <v>9.92</v>
      </c>
      <c r="L20" s="23">
        <v>60.47</v>
      </c>
      <c r="M20" s="24">
        <v>99.61</v>
      </c>
      <c r="N20" s="25">
        <v>0.97840000000000005</v>
      </c>
      <c r="O20" s="24">
        <v>1.1100000000000001</v>
      </c>
      <c r="P20" s="24">
        <v>0.05</v>
      </c>
      <c r="Q20" s="25">
        <v>7.4000000000000003E-3</v>
      </c>
      <c r="R20" s="26">
        <v>7</v>
      </c>
      <c r="S20" s="26">
        <v>2</v>
      </c>
      <c r="T20" s="26">
        <v>0</v>
      </c>
      <c r="U20" s="26">
        <v>0</v>
      </c>
      <c r="V20" s="26">
        <v>2</v>
      </c>
      <c r="W20" s="26">
        <v>1</v>
      </c>
      <c r="X20" s="26">
        <v>4</v>
      </c>
      <c r="Y20" s="26">
        <v>2</v>
      </c>
      <c r="Z20" s="25">
        <v>3.0000000000000001E-3</v>
      </c>
      <c r="AA20" s="24">
        <v>99.66</v>
      </c>
      <c r="AB20" s="26">
        <v>11</v>
      </c>
      <c r="AC20" s="26">
        <v>590</v>
      </c>
      <c r="AD20" s="26">
        <v>4163</v>
      </c>
      <c r="AE20" s="26">
        <v>670</v>
      </c>
      <c r="AF20" s="27">
        <v>0</v>
      </c>
      <c r="AG20" s="24">
        <v>96.1</v>
      </c>
      <c r="AH20" s="25">
        <v>0.1429</v>
      </c>
      <c r="AI20" s="26">
        <v>0</v>
      </c>
      <c r="AJ20" s="24">
        <v>96.83</v>
      </c>
      <c r="AK20" s="25">
        <v>9.6500000000000002E-2</v>
      </c>
      <c r="AL20" s="28">
        <v>3.3399999999999999E-2</v>
      </c>
      <c r="AM20" s="28">
        <v>0.92910000000000004</v>
      </c>
      <c r="AN20" s="26">
        <v>697</v>
      </c>
      <c r="AO20" s="26">
        <v>9</v>
      </c>
      <c r="AP20" s="23">
        <v>38.520000000000003</v>
      </c>
      <c r="AQ20">
        <f t="shared" si="0"/>
        <v>94.58</v>
      </c>
    </row>
    <row r="21" spans="1:43" ht="16.5" x14ac:dyDescent="0.3">
      <c r="A21" s="21" t="s">
        <v>595</v>
      </c>
      <c r="B21" s="21" t="s">
        <v>596</v>
      </c>
      <c r="C21" s="21" t="s">
        <v>42</v>
      </c>
      <c r="D21" s="21" t="s">
        <v>581</v>
      </c>
      <c r="E21" s="21" t="s">
        <v>582</v>
      </c>
      <c r="F21" s="21" t="s">
        <v>581</v>
      </c>
      <c r="G21" s="21" t="s">
        <v>582</v>
      </c>
      <c r="H21" s="21" t="s">
        <v>591</v>
      </c>
      <c r="I21" s="21" t="s">
        <v>592</v>
      </c>
      <c r="J21" s="22">
        <v>1</v>
      </c>
      <c r="K21" s="23">
        <v>5.2</v>
      </c>
      <c r="L21" s="23">
        <v>30.45</v>
      </c>
      <c r="M21" s="24">
        <v>99.7</v>
      </c>
      <c r="N21" s="25">
        <v>0.96250000000000002</v>
      </c>
      <c r="O21" s="24">
        <v>0.28999999999999998</v>
      </c>
      <c r="P21" s="26">
        <v>0</v>
      </c>
      <c r="Q21" s="25">
        <v>1.06E-2</v>
      </c>
      <c r="R21" s="26">
        <v>1</v>
      </c>
      <c r="S21" s="26">
        <v>0</v>
      </c>
      <c r="T21" s="26">
        <v>0</v>
      </c>
      <c r="U21" s="26">
        <v>0</v>
      </c>
      <c r="V21" s="26">
        <v>1</v>
      </c>
      <c r="W21" s="26">
        <v>0</v>
      </c>
      <c r="X21" s="26">
        <v>0</v>
      </c>
      <c r="Y21" s="26">
        <v>1</v>
      </c>
      <c r="Z21" s="25">
        <v>3.7000000000000002E-3</v>
      </c>
      <c r="AA21" s="24">
        <v>99.7</v>
      </c>
      <c r="AB21" s="26">
        <v>53</v>
      </c>
      <c r="AC21" s="26">
        <v>333</v>
      </c>
      <c r="AD21" s="26">
        <v>3913</v>
      </c>
      <c r="AE21" s="26">
        <v>657</v>
      </c>
      <c r="AF21" s="27">
        <v>0</v>
      </c>
      <c r="AG21" s="24">
        <v>98.02</v>
      </c>
      <c r="AH21" s="27">
        <v>0</v>
      </c>
      <c r="AI21" s="26">
        <v>0</v>
      </c>
      <c r="AJ21" s="24">
        <v>94.43</v>
      </c>
      <c r="AK21" s="25">
        <v>0.17810000000000001</v>
      </c>
      <c r="AL21" s="28">
        <v>6.4999999999999997E-3</v>
      </c>
      <c r="AM21" s="28">
        <v>0.84119999999999995</v>
      </c>
      <c r="AN21" s="26">
        <v>0</v>
      </c>
      <c r="AO21" s="26">
        <v>8</v>
      </c>
      <c r="AP21" s="23">
        <v>32.01</v>
      </c>
      <c r="AQ21">
        <f t="shared" si="0"/>
        <v>100</v>
      </c>
    </row>
    <row r="22" spans="1:43" ht="16.5" x14ac:dyDescent="0.3">
      <c r="A22" s="21" t="s">
        <v>596</v>
      </c>
      <c r="B22" s="21" t="s">
        <v>597</v>
      </c>
      <c r="C22" s="21" t="s">
        <v>42</v>
      </c>
      <c r="D22" s="21" t="s">
        <v>581</v>
      </c>
      <c r="E22" s="21" t="s">
        <v>582</v>
      </c>
      <c r="F22" s="21" t="s">
        <v>581</v>
      </c>
      <c r="G22" s="21" t="s">
        <v>582</v>
      </c>
      <c r="H22" s="21" t="s">
        <v>585</v>
      </c>
      <c r="I22" s="21" t="s">
        <v>586</v>
      </c>
      <c r="J22" s="22">
        <v>1</v>
      </c>
      <c r="K22" s="23">
        <v>15.61</v>
      </c>
      <c r="L22" s="23">
        <v>123.29</v>
      </c>
      <c r="M22" s="26">
        <v>100</v>
      </c>
      <c r="N22" s="25">
        <v>0.97860000000000003</v>
      </c>
      <c r="O22" s="24">
        <v>0.32</v>
      </c>
      <c r="P22" s="26">
        <v>0</v>
      </c>
      <c r="Q22" s="25">
        <v>1.3299999999999999E-2</v>
      </c>
      <c r="R22" s="26">
        <v>4</v>
      </c>
      <c r="S22" s="26">
        <v>0</v>
      </c>
      <c r="T22" s="26">
        <v>0</v>
      </c>
      <c r="U22" s="26">
        <v>0</v>
      </c>
      <c r="V22" s="26">
        <v>2</v>
      </c>
      <c r="W22" s="26">
        <v>2</v>
      </c>
      <c r="X22" s="26">
        <v>0</v>
      </c>
      <c r="Y22" s="26">
        <v>2</v>
      </c>
      <c r="Z22" s="25">
        <v>2.8E-3</v>
      </c>
      <c r="AA22" s="26">
        <v>100</v>
      </c>
      <c r="AB22" s="26">
        <v>8</v>
      </c>
      <c r="AC22" s="26">
        <v>883</v>
      </c>
      <c r="AD22" s="26">
        <v>5042</v>
      </c>
      <c r="AE22" s="26">
        <v>736</v>
      </c>
      <c r="AF22" s="27">
        <v>0</v>
      </c>
      <c r="AG22" s="24">
        <v>98.52</v>
      </c>
      <c r="AH22" s="27">
        <v>0.5</v>
      </c>
      <c r="AI22" s="26">
        <v>0</v>
      </c>
      <c r="AJ22" s="24">
        <v>97.46</v>
      </c>
      <c r="AK22" s="25">
        <v>7.0900000000000005E-2</v>
      </c>
      <c r="AL22" s="28">
        <v>2.12E-2</v>
      </c>
      <c r="AM22" s="28">
        <v>0.95469999999999999</v>
      </c>
      <c r="AN22" s="26">
        <v>0</v>
      </c>
      <c r="AO22" s="26">
        <v>9</v>
      </c>
      <c r="AP22" s="23">
        <v>38.65</v>
      </c>
      <c r="AQ22">
        <f t="shared" si="0"/>
        <v>100</v>
      </c>
    </row>
    <row r="23" spans="1:43" ht="16.5" x14ac:dyDescent="0.3">
      <c r="A23" s="21" t="s">
        <v>596</v>
      </c>
      <c r="B23" s="21" t="s">
        <v>597</v>
      </c>
      <c r="C23" s="21" t="s">
        <v>42</v>
      </c>
      <c r="D23" s="21" t="s">
        <v>581</v>
      </c>
      <c r="E23" s="21" t="s">
        <v>582</v>
      </c>
      <c r="F23" s="21" t="s">
        <v>581</v>
      </c>
      <c r="G23" s="21" t="s">
        <v>582</v>
      </c>
      <c r="H23" s="21" t="s">
        <v>587</v>
      </c>
      <c r="I23" s="21" t="s">
        <v>588</v>
      </c>
      <c r="J23" s="22">
        <v>1</v>
      </c>
      <c r="K23" s="23">
        <v>7.79</v>
      </c>
      <c r="L23" s="23">
        <v>99.06</v>
      </c>
      <c r="M23" s="24">
        <v>99.38</v>
      </c>
      <c r="N23" s="27">
        <v>0.96</v>
      </c>
      <c r="O23" s="24">
        <v>0.21</v>
      </c>
      <c r="P23" s="24">
        <v>0.02</v>
      </c>
      <c r="Q23" s="25">
        <v>1.37E-2</v>
      </c>
      <c r="R23" s="26">
        <v>1</v>
      </c>
      <c r="S23" s="26">
        <v>1</v>
      </c>
      <c r="T23" s="26">
        <v>0</v>
      </c>
      <c r="U23" s="26">
        <v>0</v>
      </c>
      <c r="V23" s="26">
        <v>0</v>
      </c>
      <c r="W23" s="26">
        <v>1</v>
      </c>
      <c r="X23" s="26">
        <v>0</v>
      </c>
      <c r="Y23" s="26">
        <v>0</v>
      </c>
      <c r="Z23" s="25">
        <v>2.8E-3</v>
      </c>
      <c r="AA23" s="24">
        <v>99.4</v>
      </c>
      <c r="AB23" s="26">
        <v>45</v>
      </c>
      <c r="AC23" s="26">
        <v>498</v>
      </c>
      <c r="AD23" s="26">
        <v>4927</v>
      </c>
      <c r="AE23" s="26">
        <v>654</v>
      </c>
      <c r="AF23" s="27">
        <v>0</v>
      </c>
      <c r="AG23" s="24">
        <v>95.85</v>
      </c>
      <c r="AH23" s="27">
        <v>1</v>
      </c>
      <c r="AI23" s="26">
        <v>0</v>
      </c>
      <c r="AJ23" s="24">
        <v>95.9</v>
      </c>
      <c r="AK23" s="25">
        <v>0.18179999999999999</v>
      </c>
      <c r="AL23" s="28">
        <v>2.1499999999999998E-2</v>
      </c>
      <c r="AM23" s="28">
        <v>0.90529999999999999</v>
      </c>
      <c r="AN23" s="26">
        <v>0</v>
      </c>
      <c r="AO23" s="26">
        <v>8</v>
      </c>
      <c r="AP23" s="23">
        <v>33.67</v>
      </c>
      <c r="AQ23">
        <f t="shared" si="0"/>
        <v>100</v>
      </c>
    </row>
    <row r="24" spans="1:43" ht="16.5" x14ac:dyDescent="0.3">
      <c r="A24" s="21" t="s">
        <v>596</v>
      </c>
      <c r="B24" s="21" t="s">
        <v>597</v>
      </c>
      <c r="C24" s="21" t="s">
        <v>42</v>
      </c>
      <c r="D24" s="21" t="s">
        <v>581</v>
      </c>
      <c r="E24" s="21" t="s">
        <v>582</v>
      </c>
      <c r="F24" s="21" t="s">
        <v>581</v>
      </c>
      <c r="G24" s="21" t="s">
        <v>582</v>
      </c>
      <c r="H24" s="21" t="s">
        <v>589</v>
      </c>
      <c r="I24" s="21" t="s">
        <v>590</v>
      </c>
      <c r="J24" s="22">
        <v>1</v>
      </c>
      <c r="K24" s="23">
        <v>10.54</v>
      </c>
      <c r="L24" s="23">
        <v>60.66</v>
      </c>
      <c r="M24" s="24">
        <v>99.72</v>
      </c>
      <c r="N24" s="25">
        <v>0.97829999999999995</v>
      </c>
      <c r="O24" s="24">
        <v>0.34</v>
      </c>
      <c r="P24" s="24">
        <v>0.11</v>
      </c>
      <c r="Q24" s="25">
        <v>6.4999999999999997E-3</v>
      </c>
      <c r="R24" s="26">
        <v>4</v>
      </c>
      <c r="S24" s="26">
        <v>4</v>
      </c>
      <c r="T24" s="26">
        <v>0</v>
      </c>
      <c r="U24" s="26">
        <v>0</v>
      </c>
      <c r="V24" s="26">
        <v>4</v>
      </c>
      <c r="W24" s="26">
        <v>0</v>
      </c>
      <c r="X24" s="26">
        <v>0</v>
      </c>
      <c r="Y24" s="26">
        <v>4</v>
      </c>
      <c r="Z24" s="25">
        <v>3.0000000000000001E-3</v>
      </c>
      <c r="AA24" s="24">
        <v>99.82</v>
      </c>
      <c r="AB24" s="26">
        <v>24</v>
      </c>
      <c r="AC24" s="26">
        <v>570</v>
      </c>
      <c r="AD24" s="26">
        <v>3763</v>
      </c>
      <c r="AE24" s="26">
        <v>739</v>
      </c>
      <c r="AF24" s="27">
        <v>0</v>
      </c>
      <c r="AG24" s="24">
        <v>96.68</v>
      </c>
      <c r="AH24" s="27">
        <v>0</v>
      </c>
      <c r="AI24" s="26">
        <v>0</v>
      </c>
      <c r="AJ24" s="24">
        <v>97.06</v>
      </c>
      <c r="AK24" s="25">
        <v>8.6699999999999999E-2</v>
      </c>
      <c r="AL24" s="28">
        <v>4.3299999999999998E-2</v>
      </c>
      <c r="AM24" s="28">
        <v>0.94310000000000005</v>
      </c>
      <c r="AN24" s="26">
        <v>0</v>
      </c>
      <c r="AO24" s="26">
        <v>9</v>
      </c>
      <c r="AP24" s="23">
        <v>43.43</v>
      </c>
      <c r="AQ24">
        <f t="shared" si="0"/>
        <v>100</v>
      </c>
    </row>
    <row r="25" spans="1:43" ht="16.5" x14ac:dyDescent="0.3">
      <c r="A25" s="21" t="s">
        <v>596</v>
      </c>
      <c r="B25" s="21" t="s">
        <v>597</v>
      </c>
      <c r="C25" s="21" t="s">
        <v>42</v>
      </c>
      <c r="D25" s="21" t="s">
        <v>581</v>
      </c>
      <c r="E25" s="21" t="s">
        <v>582</v>
      </c>
      <c r="F25" s="21" t="s">
        <v>581</v>
      </c>
      <c r="G25" s="21" t="s">
        <v>582</v>
      </c>
      <c r="H25" s="21" t="s">
        <v>591</v>
      </c>
      <c r="I25" s="21" t="s">
        <v>592</v>
      </c>
      <c r="J25" s="22">
        <v>1</v>
      </c>
      <c r="K25" s="23">
        <v>5.48</v>
      </c>
      <c r="L25" s="23">
        <v>27.85</v>
      </c>
      <c r="M25" s="26">
        <v>100</v>
      </c>
      <c r="N25" s="25">
        <v>0.97170000000000001</v>
      </c>
      <c r="O25" s="24">
        <v>0.32</v>
      </c>
      <c r="P25" s="26">
        <v>0</v>
      </c>
      <c r="Q25" s="25">
        <v>7.4000000000000003E-3</v>
      </c>
      <c r="R25" s="26">
        <v>2</v>
      </c>
      <c r="S25" s="26">
        <v>0</v>
      </c>
      <c r="T25" s="26">
        <v>0</v>
      </c>
      <c r="U25" s="26">
        <v>0</v>
      </c>
      <c r="V25" s="26">
        <v>1</v>
      </c>
      <c r="W25" s="26">
        <v>1</v>
      </c>
      <c r="X25" s="26">
        <v>0</v>
      </c>
      <c r="Y25" s="26">
        <v>1</v>
      </c>
      <c r="Z25" s="25">
        <v>2.7000000000000001E-3</v>
      </c>
      <c r="AA25" s="26">
        <v>100</v>
      </c>
      <c r="AB25" s="26">
        <v>32</v>
      </c>
      <c r="AC25" s="26">
        <v>305</v>
      </c>
      <c r="AD25" s="26">
        <v>3520</v>
      </c>
      <c r="AE25" s="26">
        <v>661</v>
      </c>
      <c r="AF25" s="27">
        <v>0</v>
      </c>
      <c r="AG25" s="24">
        <v>98.01</v>
      </c>
      <c r="AH25" s="27">
        <v>0.5</v>
      </c>
      <c r="AI25" s="26">
        <v>0</v>
      </c>
      <c r="AJ25" s="24">
        <v>95.86</v>
      </c>
      <c r="AK25" s="25">
        <v>0.11890000000000001</v>
      </c>
      <c r="AL25" s="28">
        <v>9.1000000000000004E-3</v>
      </c>
      <c r="AM25" s="28">
        <v>0.83109999999999995</v>
      </c>
      <c r="AN25" s="26">
        <v>0</v>
      </c>
      <c r="AO25" s="26">
        <v>8</v>
      </c>
      <c r="AP25" s="23">
        <v>31.73</v>
      </c>
      <c r="AQ25">
        <f t="shared" si="0"/>
        <v>100</v>
      </c>
    </row>
    <row r="26" spans="1:43" ht="16.5" x14ac:dyDescent="0.3">
      <c r="A26" s="21" t="s">
        <v>597</v>
      </c>
      <c r="B26" s="21" t="s">
        <v>598</v>
      </c>
      <c r="C26" s="21" t="s">
        <v>42</v>
      </c>
      <c r="D26" s="21" t="s">
        <v>581</v>
      </c>
      <c r="E26" s="21" t="s">
        <v>582</v>
      </c>
      <c r="F26" s="21" t="s">
        <v>581</v>
      </c>
      <c r="G26" s="21" t="s">
        <v>582</v>
      </c>
      <c r="H26" s="21" t="s">
        <v>585</v>
      </c>
      <c r="I26" s="21" t="s">
        <v>586</v>
      </c>
      <c r="J26" s="22">
        <v>1</v>
      </c>
      <c r="K26" s="23">
        <v>17.07</v>
      </c>
      <c r="L26" s="23">
        <v>136.19999999999999</v>
      </c>
      <c r="M26" s="24">
        <v>99.85</v>
      </c>
      <c r="N26" s="25">
        <v>0.97950000000000004</v>
      </c>
      <c r="O26" s="24">
        <v>0.1</v>
      </c>
      <c r="P26" s="24">
        <v>0.04</v>
      </c>
      <c r="Q26" s="25">
        <v>7.6E-3</v>
      </c>
      <c r="R26" s="26">
        <v>1</v>
      </c>
      <c r="S26" s="26">
        <v>2</v>
      </c>
      <c r="T26" s="26">
        <v>0</v>
      </c>
      <c r="U26" s="26">
        <v>0</v>
      </c>
      <c r="V26" s="26">
        <v>1</v>
      </c>
      <c r="W26" s="26">
        <v>0</v>
      </c>
      <c r="X26" s="26">
        <v>0</v>
      </c>
      <c r="Y26" s="26">
        <v>1</v>
      </c>
      <c r="Z26" s="25">
        <v>2.5000000000000001E-3</v>
      </c>
      <c r="AA26" s="24">
        <v>99.89</v>
      </c>
      <c r="AB26" s="26">
        <v>7</v>
      </c>
      <c r="AC26" s="26">
        <v>902</v>
      </c>
      <c r="AD26" s="26">
        <v>5117</v>
      </c>
      <c r="AE26" s="26">
        <v>734</v>
      </c>
      <c r="AF26" s="27">
        <v>0</v>
      </c>
      <c r="AG26" s="24">
        <v>98.5</v>
      </c>
      <c r="AH26" s="27">
        <v>0</v>
      </c>
      <c r="AI26" s="26">
        <v>0</v>
      </c>
      <c r="AJ26" s="24">
        <v>96.43</v>
      </c>
      <c r="AK26" s="25">
        <v>6.3100000000000003E-2</v>
      </c>
      <c r="AL26" s="28">
        <v>2.4299999999999999E-2</v>
      </c>
      <c r="AM26" s="28">
        <v>0.93700000000000006</v>
      </c>
      <c r="AN26" s="26">
        <v>0</v>
      </c>
      <c r="AO26" s="26">
        <v>9</v>
      </c>
      <c r="AP26" s="23">
        <v>42.47</v>
      </c>
      <c r="AQ26">
        <f t="shared" si="0"/>
        <v>100</v>
      </c>
    </row>
    <row r="27" spans="1:43" ht="16.5" x14ac:dyDescent="0.3">
      <c r="A27" s="21" t="s">
        <v>597</v>
      </c>
      <c r="B27" s="21" t="s">
        <v>598</v>
      </c>
      <c r="C27" s="21" t="s">
        <v>42</v>
      </c>
      <c r="D27" s="21" t="s">
        <v>581</v>
      </c>
      <c r="E27" s="21" t="s">
        <v>582</v>
      </c>
      <c r="F27" s="21" t="s">
        <v>581</v>
      </c>
      <c r="G27" s="21" t="s">
        <v>582</v>
      </c>
      <c r="H27" s="21" t="s">
        <v>587</v>
      </c>
      <c r="I27" s="21" t="s">
        <v>588</v>
      </c>
      <c r="J27" s="22">
        <v>1</v>
      </c>
      <c r="K27" s="23">
        <v>8.43</v>
      </c>
      <c r="L27" s="23">
        <v>123.36</v>
      </c>
      <c r="M27" s="24">
        <v>99.58</v>
      </c>
      <c r="N27" s="25">
        <v>0.96830000000000005</v>
      </c>
      <c r="O27" s="26">
        <v>0</v>
      </c>
      <c r="P27" s="24">
        <v>0.04</v>
      </c>
      <c r="Q27" s="25">
        <v>1.44E-2</v>
      </c>
      <c r="R27" s="26">
        <v>0</v>
      </c>
      <c r="S27" s="26">
        <v>2</v>
      </c>
      <c r="T27" s="26">
        <v>0</v>
      </c>
      <c r="U27" s="26">
        <v>0</v>
      </c>
      <c r="V27" s="26">
        <v>0</v>
      </c>
      <c r="W27" s="26">
        <v>0</v>
      </c>
      <c r="X27" s="26">
        <v>0</v>
      </c>
      <c r="Y27" s="26">
        <v>0</v>
      </c>
      <c r="Z27" s="25">
        <v>3.7000000000000002E-3</v>
      </c>
      <c r="AA27" s="24">
        <v>99.62</v>
      </c>
      <c r="AB27" s="26">
        <v>45</v>
      </c>
      <c r="AC27" s="26">
        <v>525</v>
      </c>
      <c r="AD27" s="26">
        <v>5204</v>
      </c>
      <c r="AE27" s="26">
        <v>654</v>
      </c>
      <c r="AF27" s="27">
        <v>0</v>
      </c>
      <c r="AG27" s="24">
        <v>90.19</v>
      </c>
      <c r="AI27" s="26">
        <v>0</v>
      </c>
      <c r="AJ27" s="24">
        <v>93.38</v>
      </c>
      <c r="AK27" s="25">
        <v>0.1978</v>
      </c>
      <c r="AL27" s="28">
        <v>4.1500000000000002E-2</v>
      </c>
      <c r="AM27" s="28">
        <v>0.91359999999999997</v>
      </c>
      <c r="AN27" s="26">
        <v>0</v>
      </c>
      <c r="AO27" s="26">
        <v>8</v>
      </c>
      <c r="AP27" s="23">
        <v>34.6</v>
      </c>
      <c r="AQ27">
        <f t="shared" si="0"/>
        <v>100</v>
      </c>
    </row>
    <row r="28" spans="1:43" ht="16.5" x14ac:dyDescent="0.3">
      <c r="A28" s="21" t="s">
        <v>597</v>
      </c>
      <c r="B28" s="21" t="s">
        <v>598</v>
      </c>
      <c r="C28" s="21" t="s">
        <v>42</v>
      </c>
      <c r="D28" s="21" t="s">
        <v>581</v>
      </c>
      <c r="E28" s="21" t="s">
        <v>582</v>
      </c>
      <c r="F28" s="21" t="s">
        <v>581</v>
      </c>
      <c r="G28" s="21" t="s">
        <v>582</v>
      </c>
      <c r="H28" s="21" t="s">
        <v>589</v>
      </c>
      <c r="I28" s="21" t="s">
        <v>590</v>
      </c>
      <c r="J28" s="22">
        <v>0.95</v>
      </c>
      <c r="K28" s="23">
        <v>8.32</v>
      </c>
      <c r="L28" s="23">
        <v>36.03</v>
      </c>
      <c r="M28" s="24">
        <v>99.74</v>
      </c>
      <c r="N28" s="25">
        <v>0.97589999999999999</v>
      </c>
      <c r="O28" s="24">
        <v>0.38</v>
      </c>
      <c r="P28" s="24">
        <v>0.05</v>
      </c>
      <c r="Q28" s="25">
        <v>8.6E-3</v>
      </c>
      <c r="R28" s="26">
        <v>2</v>
      </c>
      <c r="S28" s="26">
        <v>2</v>
      </c>
      <c r="T28" s="26">
        <v>0</v>
      </c>
      <c r="U28" s="26">
        <v>0</v>
      </c>
      <c r="V28" s="26">
        <v>2</v>
      </c>
      <c r="W28" s="26">
        <v>0</v>
      </c>
      <c r="X28" s="26">
        <v>0</v>
      </c>
      <c r="Y28" s="26">
        <v>2</v>
      </c>
      <c r="Z28" s="25">
        <v>2.8999999999999998E-3</v>
      </c>
      <c r="AA28" s="24">
        <v>99.8</v>
      </c>
      <c r="AB28" s="26">
        <v>26</v>
      </c>
      <c r="AC28" s="26">
        <v>488</v>
      </c>
      <c r="AD28" s="26">
        <v>4036</v>
      </c>
      <c r="AE28" s="26">
        <v>673</v>
      </c>
      <c r="AF28" s="27">
        <v>0</v>
      </c>
      <c r="AG28" s="24">
        <v>96.2</v>
      </c>
      <c r="AH28" s="27">
        <v>0</v>
      </c>
      <c r="AI28" s="26">
        <v>0</v>
      </c>
      <c r="AJ28" s="24">
        <v>97.75</v>
      </c>
      <c r="AK28" s="25">
        <v>0.1028</v>
      </c>
      <c r="AL28" s="28">
        <v>3.7499999999999999E-2</v>
      </c>
      <c r="AM28" s="28">
        <v>0.92369999999999997</v>
      </c>
      <c r="AN28" s="26">
        <v>685</v>
      </c>
      <c r="AO28" s="26">
        <v>9</v>
      </c>
      <c r="AP28" s="23">
        <v>39.01</v>
      </c>
      <c r="AQ28">
        <f t="shared" si="0"/>
        <v>95</v>
      </c>
    </row>
    <row r="29" spans="1:43" ht="16.5" x14ac:dyDescent="0.3">
      <c r="A29" s="21" t="s">
        <v>597</v>
      </c>
      <c r="B29" s="21" t="s">
        <v>598</v>
      </c>
      <c r="C29" s="21" t="s">
        <v>42</v>
      </c>
      <c r="D29" s="21" t="s">
        <v>581</v>
      </c>
      <c r="E29" s="21" t="s">
        <v>582</v>
      </c>
      <c r="F29" s="21" t="s">
        <v>581</v>
      </c>
      <c r="G29" s="21" t="s">
        <v>582</v>
      </c>
      <c r="H29" s="21" t="s">
        <v>591</v>
      </c>
      <c r="I29" s="21" t="s">
        <v>592</v>
      </c>
      <c r="J29" s="22">
        <v>1</v>
      </c>
      <c r="K29" s="23">
        <v>5.86</v>
      </c>
      <c r="L29" s="23">
        <v>23.02</v>
      </c>
      <c r="M29" s="24">
        <v>99.71</v>
      </c>
      <c r="N29" s="25">
        <v>0.96560000000000001</v>
      </c>
      <c r="O29" s="24">
        <v>0.28999999999999998</v>
      </c>
      <c r="P29" s="26">
        <v>0</v>
      </c>
      <c r="Q29" s="25">
        <v>1.04E-2</v>
      </c>
      <c r="R29" s="26">
        <v>2</v>
      </c>
      <c r="S29" s="26">
        <v>0</v>
      </c>
      <c r="T29" s="26">
        <v>0</v>
      </c>
      <c r="U29" s="26">
        <v>0</v>
      </c>
      <c r="V29" s="26">
        <v>2</v>
      </c>
      <c r="W29" s="26">
        <v>0</v>
      </c>
      <c r="X29" s="26">
        <v>0</v>
      </c>
      <c r="Y29" s="26">
        <v>2</v>
      </c>
      <c r="Z29" s="25">
        <v>2.3999999999999998E-3</v>
      </c>
      <c r="AA29" s="24">
        <v>99.71</v>
      </c>
      <c r="AB29" s="26">
        <v>58</v>
      </c>
      <c r="AC29" s="26">
        <v>347</v>
      </c>
      <c r="AD29" s="26">
        <v>3885</v>
      </c>
      <c r="AE29" s="26">
        <v>659</v>
      </c>
      <c r="AF29" s="27">
        <v>0</v>
      </c>
      <c r="AG29" s="24">
        <v>98.23</v>
      </c>
      <c r="AH29" s="27">
        <v>0</v>
      </c>
      <c r="AI29" s="26">
        <v>0</v>
      </c>
      <c r="AJ29" s="24">
        <v>95.71</v>
      </c>
      <c r="AK29" s="25">
        <v>0.15890000000000001</v>
      </c>
      <c r="AL29" s="28">
        <v>4.7999999999999996E-3</v>
      </c>
      <c r="AM29" s="28">
        <v>0.85580000000000001</v>
      </c>
      <c r="AN29" s="26">
        <v>0</v>
      </c>
      <c r="AO29" s="26">
        <v>8</v>
      </c>
      <c r="AP29" s="23">
        <v>30.02</v>
      </c>
      <c r="AQ29">
        <f t="shared" si="0"/>
        <v>100</v>
      </c>
    </row>
    <row r="30" spans="1:43" ht="16.5" x14ac:dyDescent="0.3">
      <c r="A30" s="21" t="s">
        <v>598</v>
      </c>
      <c r="B30" s="21" t="s">
        <v>599</v>
      </c>
      <c r="C30" s="21" t="s">
        <v>42</v>
      </c>
      <c r="D30" s="21" t="s">
        <v>581</v>
      </c>
      <c r="E30" s="21" t="s">
        <v>582</v>
      </c>
      <c r="F30" s="21" t="s">
        <v>581</v>
      </c>
      <c r="G30" s="21" t="s">
        <v>582</v>
      </c>
      <c r="H30" s="21" t="s">
        <v>585</v>
      </c>
      <c r="I30" s="21" t="s">
        <v>586</v>
      </c>
      <c r="J30" s="22">
        <v>1</v>
      </c>
      <c r="K30" s="23">
        <v>15.08</v>
      </c>
      <c r="L30" s="23">
        <v>168.84</v>
      </c>
      <c r="M30" s="24">
        <v>99.68</v>
      </c>
      <c r="N30" s="25">
        <v>0.98229999999999995</v>
      </c>
      <c r="O30" s="24">
        <v>0.25</v>
      </c>
      <c r="P30" s="24">
        <v>7.0000000000000007E-2</v>
      </c>
      <c r="Q30" s="25">
        <v>8.5000000000000006E-3</v>
      </c>
      <c r="R30" s="26">
        <v>3</v>
      </c>
      <c r="S30" s="26">
        <v>3</v>
      </c>
      <c r="T30" s="26">
        <v>0</v>
      </c>
      <c r="U30" s="26">
        <v>0</v>
      </c>
      <c r="V30" s="26">
        <v>3</v>
      </c>
      <c r="W30" s="26">
        <v>0</v>
      </c>
      <c r="X30" s="26">
        <v>0</v>
      </c>
      <c r="Y30" s="26">
        <v>3</v>
      </c>
      <c r="Z30" s="25">
        <v>2.5000000000000001E-3</v>
      </c>
      <c r="AA30" s="24">
        <v>99.75</v>
      </c>
      <c r="AB30" s="26">
        <v>17</v>
      </c>
      <c r="AC30" s="26">
        <v>790</v>
      </c>
      <c r="AD30" s="26">
        <v>4772</v>
      </c>
      <c r="AE30" s="26">
        <v>740</v>
      </c>
      <c r="AF30" s="27">
        <v>0</v>
      </c>
      <c r="AG30" s="24">
        <v>98.88</v>
      </c>
      <c r="AH30" s="27">
        <v>0</v>
      </c>
      <c r="AI30" s="26">
        <v>0</v>
      </c>
      <c r="AJ30" s="24">
        <v>97.2</v>
      </c>
      <c r="AK30" s="25">
        <v>7.9100000000000004E-2</v>
      </c>
      <c r="AL30" s="28">
        <v>1.6799999999999999E-2</v>
      </c>
      <c r="AM30" s="28">
        <v>0.94210000000000005</v>
      </c>
      <c r="AN30" s="26">
        <v>0</v>
      </c>
      <c r="AO30" s="26">
        <v>9</v>
      </c>
      <c r="AP30" s="23">
        <v>43.42</v>
      </c>
      <c r="AQ30">
        <f t="shared" si="0"/>
        <v>100</v>
      </c>
    </row>
    <row r="31" spans="1:43" ht="16.5" x14ac:dyDescent="0.3">
      <c r="A31" s="21" t="s">
        <v>598</v>
      </c>
      <c r="B31" s="21" t="s">
        <v>599</v>
      </c>
      <c r="C31" s="21" t="s">
        <v>42</v>
      </c>
      <c r="D31" s="21" t="s">
        <v>581</v>
      </c>
      <c r="E31" s="21" t="s">
        <v>582</v>
      </c>
      <c r="F31" s="21" t="s">
        <v>581</v>
      </c>
      <c r="G31" s="21" t="s">
        <v>582</v>
      </c>
      <c r="H31" s="21" t="s">
        <v>587</v>
      </c>
      <c r="I31" s="21" t="s">
        <v>588</v>
      </c>
      <c r="J31" s="22">
        <v>1</v>
      </c>
      <c r="K31" s="23">
        <v>10.199999999999999</v>
      </c>
      <c r="L31" s="23">
        <v>146.54</v>
      </c>
      <c r="M31" s="24">
        <v>99.49</v>
      </c>
      <c r="N31" s="25">
        <v>0.97570000000000001</v>
      </c>
      <c r="O31" s="26">
        <v>0</v>
      </c>
      <c r="P31" s="26">
        <v>0</v>
      </c>
      <c r="Q31" s="25">
        <v>1.32E-2</v>
      </c>
      <c r="R31" s="26">
        <v>0</v>
      </c>
      <c r="S31" s="26">
        <v>0</v>
      </c>
      <c r="T31" s="26">
        <v>0</v>
      </c>
      <c r="U31" s="26">
        <v>0</v>
      </c>
      <c r="V31" s="26">
        <v>0</v>
      </c>
      <c r="W31" s="26">
        <v>0</v>
      </c>
      <c r="X31" s="26">
        <v>0</v>
      </c>
      <c r="Y31" s="26">
        <v>0</v>
      </c>
      <c r="Z31" s="25">
        <v>2.8E-3</v>
      </c>
      <c r="AA31" s="24">
        <v>99.49</v>
      </c>
      <c r="AB31" s="26">
        <v>38</v>
      </c>
      <c r="AC31" s="26">
        <v>583</v>
      </c>
      <c r="AD31" s="26">
        <v>5580</v>
      </c>
      <c r="AE31" s="26">
        <v>657</v>
      </c>
      <c r="AF31" s="27">
        <v>0</v>
      </c>
      <c r="AG31" s="24">
        <v>96.12</v>
      </c>
      <c r="AI31" s="26">
        <v>0</v>
      </c>
      <c r="AJ31" s="24">
        <v>94.14</v>
      </c>
      <c r="AK31" s="25">
        <v>0.22159999999999999</v>
      </c>
      <c r="AL31" s="28">
        <v>2.6599999999999999E-2</v>
      </c>
      <c r="AM31" s="28">
        <v>0.91910000000000003</v>
      </c>
      <c r="AN31" s="26">
        <v>0</v>
      </c>
      <c r="AO31" s="26">
        <v>8</v>
      </c>
      <c r="AP31" s="23">
        <v>32.090000000000003</v>
      </c>
      <c r="AQ31">
        <f t="shared" si="0"/>
        <v>100</v>
      </c>
    </row>
    <row r="32" spans="1:43" ht="16.5" x14ac:dyDescent="0.3">
      <c r="A32" s="21" t="s">
        <v>598</v>
      </c>
      <c r="B32" s="21" t="s">
        <v>599</v>
      </c>
      <c r="C32" s="21" t="s">
        <v>42</v>
      </c>
      <c r="D32" s="21" t="s">
        <v>581</v>
      </c>
      <c r="E32" s="21" t="s">
        <v>582</v>
      </c>
      <c r="F32" s="21" t="s">
        <v>581</v>
      </c>
      <c r="G32" s="21" t="s">
        <v>582</v>
      </c>
      <c r="H32" s="21" t="s">
        <v>589</v>
      </c>
      <c r="I32" s="21" t="s">
        <v>590</v>
      </c>
      <c r="J32" s="22">
        <v>1</v>
      </c>
      <c r="K32" s="23">
        <v>10.52</v>
      </c>
      <c r="L32" s="23">
        <v>40.590000000000003</v>
      </c>
      <c r="M32" s="24">
        <v>99.81</v>
      </c>
      <c r="N32" s="25">
        <v>0.9778</v>
      </c>
      <c r="O32" s="24">
        <v>0.46</v>
      </c>
      <c r="P32" s="24">
        <v>0.03</v>
      </c>
      <c r="Q32" s="25">
        <v>8.8999999999999999E-3</v>
      </c>
      <c r="R32" s="26">
        <v>4</v>
      </c>
      <c r="S32" s="26">
        <v>1</v>
      </c>
      <c r="T32" s="26">
        <v>0</v>
      </c>
      <c r="U32" s="26">
        <v>0</v>
      </c>
      <c r="V32" s="26">
        <v>4</v>
      </c>
      <c r="W32" s="26">
        <v>0</v>
      </c>
      <c r="X32" s="26">
        <v>0</v>
      </c>
      <c r="Y32" s="26">
        <v>4</v>
      </c>
      <c r="Z32" s="25">
        <v>2.8E-3</v>
      </c>
      <c r="AA32" s="24">
        <v>99.83</v>
      </c>
      <c r="AB32" s="26">
        <v>16</v>
      </c>
      <c r="AC32" s="26">
        <v>603</v>
      </c>
      <c r="AD32" s="26">
        <v>3747</v>
      </c>
      <c r="AE32" s="26">
        <v>733</v>
      </c>
      <c r="AF32" s="27">
        <v>0</v>
      </c>
      <c r="AG32" s="24">
        <v>95.42</v>
      </c>
      <c r="AH32" s="27">
        <v>0</v>
      </c>
      <c r="AI32" s="26">
        <v>0</v>
      </c>
      <c r="AJ32" s="24">
        <v>97.65</v>
      </c>
      <c r="AK32" s="25">
        <v>0.1348</v>
      </c>
      <c r="AL32" s="28">
        <v>4.3999999999999997E-2</v>
      </c>
      <c r="AM32" s="28">
        <v>0.95820000000000005</v>
      </c>
      <c r="AN32" s="26">
        <v>0</v>
      </c>
      <c r="AO32" s="26">
        <v>9</v>
      </c>
      <c r="AP32" s="23">
        <v>42.21</v>
      </c>
      <c r="AQ32">
        <f t="shared" si="0"/>
        <v>100</v>
      </c>
    </row>
    <row r="33" spans="1:43" ht="16.5" x14ac:dyDescent="0.3">
      <c r="A33" s="21" t="s">
        <v>598</v>
      </c>
      <c r="B33" s="21" t="s">
        <v>599</v>
      </c>
      <c r="C33" s="21" t="s">
        <v>42</v>
      </c>
      <c r="D33" s="21" t="s">
        <v>581</v>
      </c>
      <c r="E33" s="21" t="s">
        <v>582</v>
      </c>
      <c r="F33" s="21" t="s">
        <v>581</v>
      </c>
      <c r="G33" s="21" t="s">
        <v>582</v>
      </c>
      <c r="H33" s="21" t="s">
        <v>591</v>
      </c>
      <c r="I33" s="21" t="s">
        <v>592</v>
      </c>
      <c r="J33" s="22">
        <v>1</v>
      </c>
      <c r="K33" s="23">
        <v>5.66</v>
      </c>
      <c r="L33" s="23">
        <v>15.72</v>
      </c>
      <c r="M33" s="24">
        <v>99.69</v>
      </c>
      <c r="N33" s="25">
        <v>0.96409999999999996</v>
      </c>
      <c r="O33" s="26">
        <v>0</v>
      </c>
      <c r="P33" s="24">
        <v>0.05</v>
      </c>
      <c r="Q33" s="25">
        <v>8.6999999999999994E-3</v>
      </c>
      <c r="R33" s="26">
        <v>2</v>
      </c>
      <c r="S33" s="26">
        <v>2</v>
      </c>
      <c r="T33" s="26">
        <v>0</v>
      </c>
      <c r="U33" s="26">
        <v>0</v>
      </c>
      <c r="V33" s="26">
        <v>2</v>
      </c>
      <c r="W33" s="26">
        <v>0</v>
      </c>
      <c r="X33" s="26">
        <v>0</v>
      </c>
      <c r="Y33" s="26">
        <v>2</v>
      </c>
      <c r="Z33" s="25">
        <v>3.5000000000000001E-3</v>
      </c>
      <c r="AA33" s="24">
        <v>99.74</v>
      </c>
      <c r="AB33" s="26">
        <v>58</v>
      </c>
      <c r="AC33" s="26">
        <v>384</v>
      </c>
      <c r="AD33" s="26">
        <v>4125</v>
      </c>
      <c r="AE33" s="26">
        <v>661</v>
      </c>
      <c r="AF33" s="27">
        <v>0</v>
      </c>
      <c r="AG33" s="24">
        <v>97.22</v>
      </c>
      <c r="AH33" s="27">
        <v>0</v>
      </c>
      <c r="AI33" s="26">
        <v>0</v>
      </c>
      <c r="AJ33" s="24">
        <v>94.18</v>
      </c>
      <c r="AK33" s="25">
        <v>0.2175</v>
      </c>
      <c r="AL33" s="28">
        <v>1.2999999999999999E-2</v>
      </c>
      <c r="AM33" s="28">
        <v>0.85209999999999997</v>
      </c>
      <c r="AN33" s="26">
        <v>0</v>
      </c>
      <c r="AO33" s="26">
        <v>8</v>
      </c>
      <c r="AP33" s="23">
        <v>30.88</v>
      </c>
      <c r="AQ33">
        <f t="shared" si="0"/>
        <v>100</v>
      </c>
    </row>
    <row r="34" spans="1:43" ht="16.5" x14ac:dyDescent="0.3">
      <c r="A34" s="21" t="s">
        <v>599</v>
      </c>
      <c r="B34" s="21" t="s">
        <v>600</v>
      </c>
      <c r="C34" s="21" t="s">
        <v>42</v>
      </c>
      <c r="D34" s="21" t="s">
        <v>581</v>
      </c>
      <c r="E34" s="21" t="s">
        <v>582</v>
      </c>
      <c r="F34" s="21" t="s">
        <v>581</v>
      </c>
      <c r="G34" s="21" t="s">
        <v>582</v>
      </c>
      <c r="H34" s="21" t="s">
        <v>585</v>
      </c>
      <c r="I34" s="21" t="s">
        <v>586</v>
      </c>
      <c r="J34" s="22">
        <v>1</v>
      </c>
      <c r="K34" s="23">
        <v>14.85</v>
      </c>
      <c r="L34" s="23">
        <v>208.35</v>
      </c>
      <c r="M34" s="24">
        <v>99.67</v>
      </c>
      <c r="N34" s="25">
        <v>0.98270000000000002</v>
      </c>
      <c r="O34" s="24">
        <v>0.22</v>
      </c>
      <c r="P34" s="24">
        <v>0.1</v>
      </c>
      <c r="Q34" s="25">
        <v>1.0200000000000001E-2</v>
      </c>
      <c r="R34" s="26">
        <v>4</v>
      </c>
      <c r="S34" s="26">
        <v>5</v>
      </c>
      <c r="T34" s="26">
        <v>0</v>
      </c>
      <c r="U34" s="26">
        <v>0</v>
      </c>
      <c r="V34" s="26">
        <v>3</v>
      </c>
      <c r="W34" s="26">
        <v>1</v>
      </c>
      <c r="X34" s="26">
        <v>0</v>
      </c>
      <c r="Y34" s="26">
        <v>3</v>
      </c>
      <c r="Z34" s="25">
        <v>3.0000000000000001E-3</v>
      </c>
      <c r="AA34" s="24">
        <v>99.77</v>
      </c>
      <c r="AB34" s="26">
        <v>16</v>
      </c>
      <c r="AC34" s="26">
        <v>865</v>
      </c>
      <c r="AD34" s="26">
        <v>5174</v>
      </c>
      <c r="AE34" s="26">
        <v>734</v>
      </c>
      <c r="AF34" s="27">
        <v>0</v>
      </c>
      <c r="AG34" s="24">
        <v>97.63</v>
      </c>
      <c r="AH34" s="27">
        <v>0.25</v>
      </c>
      <c r="AI34" s="26">
        <v>0</v>
      </c>
      <c r="AJ34" s="24">
        <v>96.56</v>
      </c>
      <c r="AK34" s="25">
        <v>9.1499999999999998E-2</v>
      </c>
      <c r="AL34" s="28">
        <v>2.7199999999999998E-2</v>
      </c>
      <c r="AM34" s="28">
        <v>0.9425</v>
      </c>
      <c r="AN34" s="26">
        <v>0</v>
      </c>
      <c r="AO34" s="26">
        <v>9</v>
      </c>
      <c r="AP34" s="23">
        <v>43.58</v>
      </c>
      <c r="AQ34">
        <f t="shared" si="0"/>
        <v>100</v>
      </c>
    </row>
    <row r="35" spans="1:43" ht="16.5" x14ac:dyDescent="0.3">
      <c r="A35" s="21" t="s">
        <v>599</v>
      </c>
      <c r="B35" s="21" t="s">
        <v>600</v>
      </c>
      <c r="C35" s="21" t="s">
        <v>42</v>
      </c>
      <c r="D35" s="21" t="s">
        <v>581</v>
      </c>
      <c r="E35" s="21" t="s">
        <v>582</v>
      </c>
      <c r="F35" s="21" t="s">
        <v>581</v>
      </c>
      <c r="G35" s="21" t="s">
        <v>582</v>
      </c>
      <c r="H35" s="21" t="s">
        <v>587</v>
      </c>
      <c r="I35" s="21" t="s">
        <v>588</v>
      </c>
      <c r="J35" s="22">
        <v>1</v>
      </c>
      <c r="K35" s="23">
        <v>13.71</v>
      </c>
      <c r="L35" s="23">
        <v>105.61</v>
      </c>
      <c r="M35" s="24">
        <v>99.77</v>
      </c>
      <c r="N35" s="25">
        <v>0.96589999999999998</v>
      </c>
      <c r="O35" s="26">
        <v>0</v>
      </c>
      <c r="P35" s="26">
        <v>0</v>
      </c>
      <c r="Q35" s="25">
        <v>1.7899999999999999E-2</v>
      </c>
      <c r="R35" s="26">
        <v>1</v>
      </c>
      <c r="S35" s="26">
        <v>0</v>
      </c>
      <c r="T35" s="26">
        <v>0</v>
      </c>
      <c r="U35" s="26">
        <v>0</v>
      </c>
      <c r="V35" s="26">
        <v>1</v>
      </c>
      <c r="W35" s="26">
        <v>0</v>
      </c>
      <c r="X35" s="26">
        <v>0</v>
      </c>
      <c r="Y35" s="26">
        <v>1</v>
      </c>
      <c r="Z35" s="25">
        <v>3.3999999999999998E-3</v>
      </c>
      <c r="AA35" s="24">
        <v>99.77</v>
      </c>
      <c r="AB35" s="26">
        <v>24</v>
      </c>
      <c r="AC35" s="26">
        <v>861</v>
      </c>
      <c r="AD35" s="26">
        <v>6898</v>
      </c>
      <c r="AE35" s="26">
        <v>646</v>
      </c>
      <c r="AF35" s="27">
        <v>0</v>
      </c>
      <c r="AG35" s="24">
        <v>94.85</v>
      </c>
      <c r="AH35" s="27">
        <v>0</v>
      </c>
      <c r="AI35" s="26">
        <v>0</v>
      </c>
      <c r="AJ35" s="24">
        <v>94.01</v>
      </c>
      <c r="AK35" s="25">
        <v>0.2114</v>
      </c>
      <c r="AL35" s="28">
        <v>3.4700000000000002E-2</v>
      </c>
      <c r="AM35" s="28">
        <v>0.95050000000000001</v>
      </c>
      <c r="AN35" s="26">
        <v>0</v>
      </c>
      <c r="AO35" s="26">
        <v>8</v>
      </c>
      <c r="AP35" s="23">
        <v>31.54</v>
      </c>
      <c r="AQ35">
        <f t="shared" si="0"/>
        <v>100</v>
      </c>
    </row>
    <row r="36" spans="1:43" ht="16.5" x14ac:dyDescent="0.3">
      <c r="A36" s="21" t="s">
        <v>599</v>
      </c>
      <c r="B36" s="21" t="s">
        <v>600</v>
      </c>
      <c r="C36" s="21" t="s">
        <v>42</v>
      </c>
      <c r="D36" s="21" t="s">
        <v>581</v>
      </c>
      <c r="E36" s="21" t="s">
        <v>582</v>
      </c>
      <c r="F36" s="21" t="s">
        <v>581</v>
      </c>
      <c r="G36" s="21" t="s">
        <v>582</v>
      </c>
      <c r="H36" s="21" t="s">
        <v>589</v>
      </c>
      <c r="I36" s="21" t="s">
        <v>590</v>
      </c>
      <c r="J36" s="22">
        <v>1</v>
      </c>
      <c r="K36" s="23">
        <v>12.69</v>
      </c>
      <c r="L36" s="23">
        <v>48.67</v>
      </c>
      <c r="M36" s="24">
        <v>99.85</v>
      </c>
      <c r="N36" s="25">
        <v>0.97950000000000004</v>
      </c>
      <c r="O36" s="26">
        <v>0</v>
      </c>
      <c r="P36" s="26">
        <v>0</v>
      </c>
      <c r="Q36" s="25">
        <v>8.0000000000000002E-3</v>
      </c>
      <c r="R36" s="26">
        <v>1</v>
      </c>
      <c r="S36" s="26">
        <v>0</v>
      </c>
      <c r="T36" s="26">
        <v>0</v>
      </c>
      <c r="U36" s="26">
        <v>0</v>
      </c>
      <c r="V36" s="26">
        <v>1</v>
      </c>
      <c r="W36" s="26">
        <v>0</v>
      </c>
      <c r="X36" s="26">
        <v>0</v>
      </c>
      <c r="Y36" s="26">
        <v>1</v>
      </c>
      <c r="Z36" s="25">
        <v>2.2000000000000001E-3</v>
      </c>
      <c r="AA36" s="24">
        <v>99.85</v>
      </c>
      <c r="AB36" s="26">
        <v>6</v>
      </c>
      <c r="AC36" s="26">
        <v>674</v>
      </c>
      <c r="AD36" s="26">
        <v>3712</v>
      </c>
      <c r="AE36" s="26">
        <v>738</v>
      </c>
      <c r="AF36" s="27">
        <v>0</v>
      </c>
      <c r="AG36" s="24">
        <v>97.2</v>
      </c>
      <c r="AH36" s="27">
        <v>0</v>
      </c>
      <c r="AI36" s="26">
        <v>0</v>
      </c>
      <c r="AJ36" s="24">
        <v>97.52</v>
      </c>
      <c r="AK36" s="25">
        <v>0.13880000000000001</v>
      </c>
      <c r="AL36" s="28">
        <v>4.2700000000000002E-2</v>
      </c>
      <c r="AM36" s="28">
        <v>0.96799999999999997</v>
      </c>
      <c r="AN36" s="26">
        <v>0</v>
      </c>
      <c r="AO36" s="26">
        <v>9</v>
      </c>
      <c r="AP36" s="23">
        <v>40.78</v>
      </c>
      <c r="AQ36">
        <f t="shared" si="0"/>
        <v>100</v>
      </c>
    </row>
    <row r="37" spans="1:43" ht="16.5" x14ac:dyDescent="0.3">
      <c r="A37" s="21" t="s">
        <v>599</v>
      </c>
      <c r="B37" s="21" t="s">
        <v>600</v>
      </c>
      <c r="C37" s="21" t="s">
        <v>42</v>
      </c>
      <c r="D37" s="21" t="s">
        <v>581</v>
      </c>
      <c r="E37" s="21" t="s">
        <v>582</v>
      </c>
      <c r="F37" s="21" t="s">
        <v>581</v>
      </c>
      <c r="G37" s="21" t="s">
        <v>582</v>
      </c>
      <c r="H37" s="21" t="s">
        <v>591</v>
      </c>
      <c r="I37" s="21" t="s">
        <v>592</v>
      </c>
      <c r="J37" s="22">
        <v>1</v>
      </c>
      <c r="K37" s="23">
        <v>6.84</v>
      </c>
      <c r="L37" s="23">
        <v>32.96</v>
      </c>
      <c r="M37" s="24">
        <v>99.51</v>
      </c>
      <c r="N37" s="25">
        <v>0.96679999999999999</v>
      </c>
      <c r="O37" s="26">
        <v>0</v>
      </c>
      <c r="P37" s="26">
        <v>0</v>
      </c>
      <c r="Q37" s="25">
        <v>9.1999999999999998E-3</v>
      </c>
      <c r="R37" s="26">
        <v>1</v>
      </c>
      <c r="S37" s="26">
        <v>0</v>
      </c>
      <c r="T37" s="26">
        <v>0</v>
      </c>
      <c r="U37" s="26">
        <v>0</v>
      </c>
      <c r="V37" s="26">
        <v>1</v>
      </c>
      <c r="W37" s="26">
        <v>0</v>
      </c>
      <c r="X37" s="26">
        <v>0</v>
      </c>
      <c r="Y37" s="26">
        <v>1</v>
      </c>
      <c r="Z37" s="25">
        <v>3.0000000000000001E-3</v>
      </c>
      <c r="AA37" s="24">
        <v>99.51</v>
      </c>
      <c r="AB37" s="26">
        <v>35</v>
      </c>
      <c r="AC37" s="26">
        <v>405</v>
      </c>
      <c r="AD37" s="26">
        <v>4896</v>
      </c>
      <c r="AE37" s="26">
        <v>661</v>
      </c>
      <c r="AF37" s="27">
        <v>0</v>
      </c>
      <c r="AG37" s="24">
        <v>97.73</v>
      </c>
      <c r="AH37" s="27">
        <v>0</v>
      </c>
      <c r="AI37" s="26">
        <v>0</v>
      </c>
      <c r="AJ37" s="24">
        <v>93.86</v>
      </c>
      <c r="AK37" s="25">
        <v>0.1583</v>
      </c>
      <c r="AL37" s="28">
        <v>1.38E-2</v>
      </c>
      <c r="AM37" s="28">
        <v>0.88349999999999995</v>
      </c>
      <c r="AN37" s="26">
        <v>0</v>
      </c>
      <c r="AO37" s="26">
        <v>8</v>
      </c>
      <c r="AP37" s="23">
        <v>31.55</v>
      </c>
      <c r="AQ37">
        <f t="shared" si="0"/>
        <v>100</v>
      </c>
    </row>
    <row r="38" spans="1:43" ht="16.5" x14ac:dyDescent="0.3">
      <c r="A38" s="21" t="s">
        <v>600</v>
      </c>
      <c r="B38" s="21" t="s">
        <v>601</v>
      </c>
      <c r="C38" s="21" t="s">
        <v>42</v>
      </c>
      <c r="D38" s="21" t="s">
        <v>581</v>
      </c>
      <c r="E38" s="21" t="s">
        <v>582</v>
      </c>
      <c r="F38" s="21" t="s">
        <v>581</v>
      </c>
      <c r="G38" s="21" t="s">
        <v>582</v>
      </c>
      <c r="H38" s="21" t="s">
        <v>585</v>
      </c>
      <c r="I38" s="21" t="s">
        <v>586</v>
      </c>
      <c r="J38" s="22">
        <v>1</v>
      </c>
      <c r="K38" s="23">
        <v>20.02</v>
      </c>
      <c r="L38" s="23">
        <v>177.75</v>
      </c>
      <c r="M38" s="24">
        <v>99.7</v>
      </c>
      <c r="N38" s="25">
        <v>0.97929999999999995</v>
      </c>
      <c r="O38" s="24">
        <v>0.1</v>
      </c>
      <c r="P38" s="26">
        <v>0</v>
      </c>
      <c r="Q38" s="25">
        <v>1.41E-2</v>
      </c>
      <c r="R38" s="26">
        <v>5</v>
      </c>
      <c r="S38" s="26">
        <v>0</v>
      </c>
      <c r="T38" s="26">
        <v>0</v>
      </c>
      <c r="U38" s="26">
        <v>0</v>
      </c>
      <c r="V38" s="26">
        <v>5</v>
      </c>
      <c r="W38" s="26">
        <v>0</v>
      </c>
      <c r="X38" s="26">
        <v>0</v>
      </c>
      <c r="Y38" s="26">
        <v>5</v>
      </c>
      <c r="Z38" s="25">
        <v>2.3E-3</v>
      </c>
      <c r="AA38" s="24">
        <v>99.7</v>
      </c>
      <c r="AB38" s="26">
        <v>6</v>
      </c>
      <c r="AC38" s="26">
        <v>988</v>
      </c>
      <c r="AD38" s="26">
        <v>5342</v>
      </c>
      <c r="AE38" s="26">
        <v>734</v>
      </c>
      <c r="AF38" s="27">
        <v>0</v>
      </c>
      <c r="AG38" s="24">
        <v>98.43</v>
      </c>
      <c r="AH38" s="27">
        <v>0</v>
      </c>
      <c r="AI38" s="26">
        <v>0</v>
      </c>
      <c r="AJ38" s="24">
        <v>97.2</v>
      </c>
      <c r="AK38" s="25">
        <v>6.4699999999999994E-2</v>
      </c>
      <c r="AL38" s="28">
        <v>3.44E-2</v>
      </c>
      <c r="AM38" s="28">
        <v>0.9304</v>
      </c>
      <c r="AN38" s="26">
        <v>0</v>
      </c>
      <c r="AO38" s="26">
        <v>9</v>
      </c>
      <c r="AP38" s="23">
        <v>43.74</v>
      </c>
      <c r="AQ38">
        <f t="shared" si="0"/>
        <v>100</v>
      </c>
    </row>
    <row r="39" spans="1:43" ht="16.5" x14ac:dyDescent="0.3">
      <c r="A39" s="21" t="s">
        <v>600</v>
      </c>
      <c r="B39" s="21" t="s">
        <v>601</v>
      </c>
      <c r="C39" s="21" t="s">
        <v>42</v>
      </c>
      <c r="D39" s="21" t="s">
        <v>581</v>
      </c>
      <c r="E39" s="21" t="s">
        <v>582</v>
      </c>
      <c r="F39" s="21" t="s">
        <v>581</v>
      </c>
      <c r="G39" s="21" t="s">
        <v>582</v>
      </c>
      <c r="H39" s="21" t="s">
        <v>587</v>
      </c>
      <c r="I39" s="21" t="s">
        <v>588</v>
      </c>
      <c r="J39" s="22">
        <v>1</v>
      </c>
      <c r="K39" s="23">
        <v>19.71</v>
      </c>
      <c r="L39" s="23">
        <v>143.46</v>
      </c>
      <c r="M39" s="24">
        <v>99.69</v>
      </c>
      <c r="N39" s="25">
        <v>0.96830000000000005</v>
      </c>
      <c r="O39" s="26">
        <v>0</v>
      </c>
      <c r="P39" s="24">
        <v>0.04</v>
      </c>
      <c r="Q39" s="25">
        <v>1.0500000000000001E-2</v>
      </c>
      <c r="R39" s="26">
        <v>3</v>
      </c>
      <c r="S39" s="26">
        <v>3</v>
      </c>
      <c r="T39" s="26">
        <v>0</v>
      </c>
      <c r="U39" s="26">
        <v>0</v>
      </c>
      <c r="V39" s="26">
        <v>1</v>
      </c>
      <c r="W39" s="26">
        <v>2</v>
      </c>
      <c r="X39" s="26">
        <v>0</v>
      </c>
      <c r="Y39" s="26">
        <v>1</v>
      </c>
      <c r="Z39" s="25">
        <v>3.0999999999999999E-3</v>
      </c>
      <c r="AA39" s="24">
        <v>99.72</v>
      </c>
      <c r="AB39" s="26">
        <v>12</v>
      </c>
      <c r="AC39" s="26">
        <v>1090</v>
      </c>
      <c r="AD39" s="26">
        <v>8008</v>
      </c>
      <c r="AE39" s="26">
        <v>644</v>
      </c>
      <c r="AF39" s="27">
        <v>0</v>
      </c>
      <c r="AG39" s="24">
        <v>96.3</v>
      </c>
      <c r="AH39" s="25">
        <v>0.66669999999999996</v>
      </c>
      <c r="AI39" s="26">
        <v>0</v>
      </c>
      <c r="AJ39" s="24">
        <v>94.06</v>
      </c>
      <c r="AK39" s="25">
        <v>0.22109999999999999</v>
      </c>
      <c r="AL39" s="28">
        <v>3.4700000000000002E-2</v>
      </c>
      <c r="AM39" s="28">
        <v>0.9708</v>
      </c>
      <c r="AN39" s="26">
        <v>0</v>
      </c>
      <c r="AO39" s="26">
        <v>8</v>
      </c>
      <c r="AP39" s="23">
        <v>33.799999999999997</v>
      </c>
      <c r="AQ39">
        <f t="shared" si="0"/>
        <v>100</v>
      </c>
    </row>
    <row r="40" spans="1:43" ht="16.5" x14ac:dyDescent="0.3">
      <c r="A40" s="21" t="s">
        <v>600</v>
      </c>
      <c r="B40" s="21" t="s">
        <v>601</v>
      </c>
      <c r="C40" s="21" t="s">
        <v>42</v>
      </c>
      <c r="D40" s="21" t="s">
        <v>581</v>
      </c>
      <c r="E40" s="21" t="s">
        <v>582</v>
      </c>
      <c r="F40" s="21" t="s">
        <v>581</v>
      </c>
      <c r="G40" s="21" t="s">
        <v>582</v>
      </c>
      <c r="H40" s="21" t="s">
        <v>589</v>
      </c>
      <c r="I40" s="21" t="s">
        <v>590</v>
      </c>
      <c r="J40" s="22">
        <v>0.95</v>
      </c>
      <c r="K40" s="23">
        <v>14.16</v>
      </c>
      <c r="L40" s="23">
        <v>58.17</v>
      </c>
      <c r="M40" s="24">
        <v>99.17</v>
      </c>
      <c r="N40" s="25">
        <v>0.98150000000000004</v>
      </c>
      <c r="O40" s="24">
        <v>0.42</v>
      </c>
      <c r="P40" s="24">
        <v>0.11</v>
      </c>
      <c r="Q40" s="25">
        <v>8.0000000000000002E-3</v>
      </c>
      <c r="R40" s="26">
        <v>4</v>
      </c>
      <c r="S40" s="26">
        <v>4</v>
      </c>
      <c r="T40" s="26">
        <v>0</v>
      </c>
      <c r="U40" s="24">
        <v>0.28000000000000003</v>
      </c>
      <c r="V40" s="26">
        <v>2</v>
      </c>
      <c r="W40" s="26">
        <v>0</v>
      </c>
      <c r="X40" s="26">
        <v>2</v>
      </c>
      <c r="Y40" s="26">
        <v>2</v>
      </c>
      <c r="Z40" s="25">
        <v>2E-3</v>
      </c>
      <c r="AA40" s="24">
        <v>99.55</v>
      </c>
      <c r="AB40" s="26">
        <v>7</v>
      </c>
      <c r="AC40" s="26">
        <v>670</v>
      </c>
      <c r="AD40" s="26">
        <v>3951</v>
      </c>
      <c r="AE40" s="26">
        <v>670</v>
      </c>
      <c r="AF40" s="27">
        <v>0</v>
      </c>
      <c r="AG40" s="24">
        <v>98.09</v>
      </c>
      <c r="AH40" s="27">
        <v>0</v>
      </c>
      <c r="AI40" s="26">
        <v>0</v>
      </c>
      <c r="AJ40" s="24">
        <v>98.13</v>
      </c>
      <c r="AK40" s="25">
        <v>0.13619999999999999</v>
      </c>
      <c r="AL40" s="28">
        <v>2.6499999999999999E-2</v>
      </c>
      <c r="AM40" s="28">
        <v>0.96850000000000003</v>
      </c>
      <c r="AN40" s="26">
        <v>701</v>
      </c>
      <c r="AO40" s="26">
        <v>7</v>
      </c>
      <c r="AP40" s="23">
        <v>37.35</v>
      </c>
      <c r="AQ40">
        <f t="shared" si="0"/>
        <v>95</v>
      </c>
    </row>
    <row r="41" spans="1:43" ht="16.5" x14ac:dyDescent="0.3">
      <c r="A41" s="21" t="s">
        <v>600</v>
      </c>
      <c r="B41" s="21" t="s">
        <v>601</v>
      </c>
      <c r="C41" s="21" t="s">
        <v>42</v>
      </c>
      <c r="D41" s="21" t="s">
        <v>581</v>
      </c>
      <c r="E41" s="21" t="s">
        <v>582</v>
      </c>
      <c r="F41" s="21" t="s">
        <v>581</v>
      </c>
      <c r="G41" s="21" t="s">
        <v>582</v>
      </c>
      <c r="H41" s="21" t="s">
        <v>591</v>
      </c>
      <c r="I41" s="21" t="s">
        <v>592</v>
      </c>
      <c r="J41" s="22">
        <v>1</v>
      </c>
      <c r="K41" s="23">
        <v>6.91</v>
      </c>
      <c r="L41" s="23">
        <v>66.45</v>
      </c>
      <c r="M41" s="24">
        <v>99.55</v>
      </c>
      <c r="N41" s="25">
        <v>0.96870000000000001</v>
      </c>
      <c r="O41" s="26">
        <v>0</v>
      </c>
      <c r="P41" s="26">
        <v>0</v>
      </c>
      <c r="Q41" s="25">
        <v>1.1299999999999999E-2</v>
      </c>
      <c r="R41" s="26">
        <v>1</v>
      </c>
      <c r="S41" s="26">
        <v>0</v>
      </c>
      <c r="T41" s="26">
        <v>0</v>
      </c>
      <c r="U41" s="26">
        <v>0</v>
      </c>
      <c r="V41" s="26">
        <v>1</v>
      </c>
      <c r="W41" s="26">
        <v>0</v>
      </c>
      <c r="X41" s="26">
        <v>0</v>
      </c>
      <c r="Y41" s="26">
        <v>1</v>
      </c>
      <c r="Z41" s="25">
        <v>3.7000000000000002E-3</v>
      </c>
      <c r="AA41" s="24">
        <v>99.55</v>
      </c>
      <c r="AB41" s="26">
        <v>44</v>
      </c>
      <c r="AC41" s="26">
        <v>449</v>
      </c>
      <c r="AD41" s="26">
        <v>5070</v>
      </c>
      <c r="AE41" s="26">
        <v>659</v>
      </c>
      <c r="AF41" s="27">
        <v>0</v>
      </c>
      <c r="AG41" s="24">
        <v>97.02</v>
      </c>
      <c r="AH41" s="27">
        <v>0</v>
      </c>
      <c r="AI41" s="26">
        <v>0</v>
      </c>
      <c r="AJ41" s="24">
        <v>94.02</v>
      </c>
      <c r="AK41" s="25">
        <v>0.17649999999999999</v>
      </c>
      <c r="AL41" s="28">
        <v>8.0000000000000002E-3</v>
      </c>
      <c r="AM41" s="28">
        <v>0.89200000000000002</v>
      </c>
      <c r="AN41" s="26">
        <v>0</v>
      </c>
      <c r="AO41" s="26">
        <v>8</v>
      </c>
      <c r="AP41" s="23">
        <v>30.71</v>
      </c>
      <c r="AQ41">
        <f t="shared" si="0"/>
        <v>100</v>
      </c>
    </row>
    <row r="42" spans="1:43" ht="16.5" x14ac:dyDescent="0.3">
      <c r="A42" s="21" t="s">
        <v>601</v>
      </c>
      <c r="B42" s="21" t="s">
        <v>602</v>
      </c>
      <c r="C42" s="21" t="s">
        <v>42</v>
      </c>
      <c r="D42" s="21" t="s">
        <v>581</v>
      </c>
      <c r="E42" s="21" t="s">
        <v>582</v>
      </c>
      <c r="F42" s="21" t="s">
        <v>581</v>
      </c>
      <c r="G42" s="21" t="s">
        <v>582</v>
      </c>
      <c r="H42" s="21" t="s">
        <v>585</v>
      </c>
      <c r="I42" s="21" t="s">
        <v>586</v>
      </c>
      <c r="J42" s="22">
        <v>1</v>
      </c>
      <c r="K42" s="23">
        <v>22.37</v>
      </c>
      <c r="L42" s="23">
        <v>120.32</v>
      </c>
      <c r="M42" s="24">
        <v>99.65</v>
      </c>
      <c r="N42" s="25">
        <v>0.97299999999999998</v>
      </c>
      <c r="O42" s="24">
        <v>0.3</v>
      </c>
      <c r="P42" s="24">
        <v>0.04</v>
      </c>
      <c r="Q42" s="25">
        <v>2.8199999999999999E-2</v>
      </c>
      <c r="R42" s="26">
        <v>4</v>
      </c>
      <c r="S42" s="26">
        <v>2</v>
      </c>
      <c r="T42" s="26">
        <v>0</v>
      </c>
      <c r="U42" s="26">
        <v>0</v>
      </c>
      <c r="V42" s="26">
        <v>4</v>
      </c>
      <c r="W42" s="26">
        <v>0</v>
      </c>
      <c r="X42" s="26">
        <v>0</v>
      </c>
      <c r="Y42" s="26">
        <v>4</v>
      </c>
      <c r="Z42" s="25">
        <v>2.3E-3</v>
      </c>
      <c r="AA42" s="24">
        <v>99.69</v>
      </c>
      <c r="AB42" s="26">
        <v>1</v>
      </c>
      <c r="AC42" s="26">
        <v>963</v>
      </c>
      <c r="AD42" s="26">
        <v>5144</v>
      </c>
      <c r="AE42" s="26">
        <v>737</v>
      </c>
      <c r="AF42" s="27">
        <v>0</v>
      </c>
      <c r="AG42" s="24">
        <v>97.95</v>
      </c>
      <c r="AH42" s="27">
        <v>0</v>
      </c>
      <c r="AI42" s="26">
        <v>0</v>
      </c>
      <c r="AJ42" s="24">
        <v>97.33</v>
      </c>
      <c r="AK42" s="25">
        <v>6.7400000000000002E-2</v>
      </c>
      <c r="AL42" s="28">
        <v>2.8400000000000002E-2</v>
      </c>
      <c r="AM42" s="28">
        <v>0.90200000000000002</v>
      </c>
      <c r="AN42" s="26">
        <v>0</v>
      </c>
      <c r="AO42" s="26">
        <v>9</v>
      </c>
      <c r="AP42" s="23">
        <v>40.24</v>
      </c>
      <c r="AQ42">
        <f t="shared" si="0"/>
        <v>100</v>
      </c>
    </row>
    <row r="43" spans="1:43" ht="16.5" x14ac:dyDescent="0.3">
      <c r="A43" s="21" t="s">
        <v>601</v>
      </c>
      <c r="B43" s="21" t="s">
        <v>602</v>
      </c>
      <c r="C43" s="21" t="s">
        <v>42</v>
      </c>
      <c r="D43" s="21" t="s">
        <v>581</v>
      </c>
      <c r="E43" s="21" t="s">
        <v>582</v>
      </c>
      <c r="F43" s="21" t="s">
        <v>581</v>
      </c>
      <c r="G43" s="21" t="s">
        <v>582</v>
      </c>
      <c r="H43" s="21" t="s">
        <v>587</v>
      </c>
      <c r="I43" s="21" t="s">
        <v>588</v>
      </c>
      <c r="J43" s="22">
        <v>1</v>
      </c>
      <c r="K43" s="23">
        <v>22.75</v>
      </c>
      <c r="L43" s="23">
        <v>144.63999999999999</v>
      </c>
      <c r="M43" s="24">
        <v>99.57</v>
      </c>
      <c r="N43" s="25">
        <v>0.96089999999999998</v>
      </c>
      <c r="O43" s="24">
        <v>0.3</v>
      </c>
      <c r="P43" s="24">
        <v>0.04</v>
      </c>
      <c r="Q43" s="25">
        <v>1.12E-2</v>
      </c>
      <c r="R43" s="26">
        <v>4</v>
      </c>
      <c r="S43" s="26">
        <v>3</v>
      </c>
      <c r="T43" s="26">
        <v>0</v>
      </c>
      <c r="U43" s="26">
        <v>0</v>
      </c>
      <c r="V43" s="26">
        <v>3</v>
      </c>
      <c r="W43" s="26">
        <v>1</v>
      </c>
      <c r="X43" s="26">
        <v>0</v>
      </c>
      <c r="Y43" s="26">
        <v>3</v>
      </c>
      <c r="Z43" s="25">
        <v>2.7000000000000001E-3</v>
      </c>
      <c r="AA43" s="24">
        <v>99.61</v>
      </c>
      <c r="AB43" s="26">
        <v>8</v>
      </c>
      <c r="AC43" s="26">
        <v>1014</v>
      </c>
      <c r="AD43" s="26">
        <v>8553</v>
      </c>
      <c r="AE43" s="26">
        <v>647</v>
      </c>
      <c r="AF43" s="27">
        <v>0</v>
      </c>
      <c r="AG43" s="24">
        <v>93.06</v>
      </c>
      <c r="AH43" s="27">
        <v>0.25</v>
      </c>
      <c r="AI43" s="26">
        <v>0</v>
      </c>
      <c r="AJ43" s="24">
        <v>95.58</v>
      </c>
      <c r="AK43" s="25">
        <v>0.20319999999999999</v>
      </c>
      <c r="AL43" s="28">
        <v>4.2500000000000003E-2</v>
      </c>
      <c r="AM43" s="28">
        <v>0.95320000000000005</v>
      </c>
      <c r="AN43" s="26">
        <v>0</v>
      </c>
      <c r="AO43" s="26">
        <v>8</v>
      </c>
      <c r="AP43" s="23">
        <v>33.630000000000003</v>
      </c>
      <c r="AQ43">
        <f t="shared" si="0"/>
        <v>100</v>
      </c>
    </row>
    <row r="44" spans="1:43" ht="16.5" x14ac:dyDescent="0.3">
      <c r="A44" s="21" t="s">
        <v>601</v>
      </c>
      <c r="B44" s="21" t="s">
        <v>602</v>
      </c>
      <c r="C44" s="21" t="s">
        <v>42</v>
      </c>
      <c r="D44" s="21" t="s">
        <v>581</v>
      </c>
      <c r="E44" s="21" t="s">
        <v>582</v>
      </c>
      <c r="F44" s="21" t="s">
        <v>581</v>
      </c>
      <c r="G44" s="21" t="s">
        <v>582</v>
      </c>
      <c r="H44" s="21" t="s">
        <v>589</v>
      </c>
      <c r="I44" s="21" t="s">
        <v>590</v>
      </c>
      <c r="J44" s="22">
        <v>1</v>
      </c>
      <c r="K44" s="23">
        <v>14.23</v>
      </c>
      <c r="L44" s="23">
        <v>67.27</v>
      </c>
      <c r="M44" s="24">
        <v>99.2</v>
      </c>
      <c r="N44" s="25">
        <v>0.98480000000000001</v>
      </c>
      <c r="O44" s="24">
        <v>0.16</v>
      </c>
      <c r="P44" s="24">
        <v>0.15</v>
      </c>
      <c r="Q44" s="25">
        <v>5.1000000000000004E-3</v>
      </c>
      <c r="R44" s="26">
        <v>1</v>
      </c>
      <c r="S44" s="26">
        <v>5</v>
      </c>
      <c r="T44" s="26">
        <v>0</v>
      </c>
      <c r="U44" s="26">
        <v>0</v>
      </c>
      <c r="V44" s="26">
        <v>1</v>
      </c>
      <c r="W44" s="26">
        <v>0</v>
      </c>
      <c r="X44" s="26">
        <v>0</v>
      </c>
      <c r="Y44" s="26">
        <v>1</v>
      </c>
      <c r="Z44" s="25">
        <v>2E-3</v>
      </c>
      <c r="AA44" s="24">
        <v>99.35</v>
      </c>
      <c r="AB44" s="26">
        <v>11</v>
      </c>
      <c r="AC44" s="26">
        <v>613</v>
      </c>
      <c r="AD44" s="26">
        <v>3402</v>
      </c>
      <c r="AE44" s="26">
        <v>737</v>
      </c>
      <c r="AF44" s="27">
        <v>0</v>
      </c>
      <c r="AG44" s="24">
        <v>97.85</v>
      </c>
      <c r="AH44" s="27">
        <v>0</v>
      </c>
      <c r="AI44" s="26">
        <v>0</v>
      </c>
      <c r="AJ44" s="24">
        <v>97.04</v>
      </c>
      <c r="AK44" s="25">
        <v>0.15029999999999999</v>
      </c>
      <c r="AL44" s="28">
        <v>2.4400000000000002E-2</v>
      </c>
      <c r="AM44" s="28">
        <v>0.95130000000000003</v>
      </c>
      <c r="AN44" s="26">
        <v>0</v>
      </c>
      <c r="AO44" s="26">
        <v>9</v>
      </c>
      <c r="AP44" s="23">
        <v>34.380000000000003</v>
      </c>
      <c r="AQ44">
        <f t="shared" si="0"/>
        <v>100</v>
      </c>
    </row>
    <row r="45" spans="1:43" ht="16.5" x14ac:dyDescent="0.3">
      <c r="A45" s="21" t="s">
        <v>601</v>
      </c>
      <c r="B45" s="21" t="s">
        <v>602</v>
      </c>
      <c r="C45" s="21" t="s">
        <v>42</v>
      </c>
      <c r="D45" s="21" t="s">
        <v>581</v>
      </c>
      <c r="E45" s="21" t="s">
        <v>582</v>
      </c>
      <c r="F45" s="21" t="s">
        <v>581</v>
      </c>
      <c r="G45" s="21" t="s">
        <v>582</v>
      </c>
      <c r="H45" s="21" t="s">
        <v>591</v>
      </c>
      <c r="I45" s="21" t="s">
        <v>592</v>
      </c>
      <c r="J45" s="22">
        <v>1</v>
      </c>
      <c r="K45" s="23">
        <v>6.94</v>
      </c>
      <c r="L45" s="23">
        <v>66.8</v>
      </c>
      <c r="M45" s="24">
        <v>100.27</v>
      </c>
      <c r="N45" s="25">
        <v>0.97309999999999997</v>
      </c>
      <c r="O45" s="26">
        <v>0</v>
      </c>
      <c r="P45" s="26">
        <v>0</v>
      </c>
      <c r="Q45" s="25">
        <v>1.0999999999999999E-2</v>
      </c>
      <c r="R45" s="26">
        <v>0</v>
      </c>
      <c r="S45" s="26">
        <v>0</v>
      </c>
      <c r="T45" s="26">
        <v>0</v>
      </c>
      <c r="U45" s="26">
        <v>0</v>
      </c>
      <c r="V45" s="26">
        <v>0</v>
      </c>
      <c r="W45" s="26">
        <v>0</v>
      </c>
      <c r="X45" s="26">
        <v>0</v>
      </c>
      <c r="Y45" s="26">
        <v>0</v>
      </c>
      <c r="Z45" s="25">
        <v>2.7000000000000001E-3</v>
      </c>
      <c r="AA45" s="24">
        <v>100.27</v>
      </c>
      <c r="AB45" s="26">
        <v>36</v>
      </c>
      <c r="AC45" s="26">
        <v>367</v>
      </c>
      <c r="AD45" s="26">
        <v>4180</v>
      </c>
      <c r="AE45" s="26">
        <v>658</v>
      </c>
      <c r="AF45" s="27">
        <v>0</v>
      </c>
      <c r="AG45" s="24">
        <v>98.58</v>
      </c>
      <c r="AI45" s="26">
        <v>0</v>
      </c>
      <c r="AJ45" s="24">
        <v>93.79</v>
      </c>
      <c r="AK45" s="25">
        <v>0.153</v>
      </c>
      <c r="AL45" s="28">
        <v>2.2200000000000001E-2</v>
      </c>
      <c r="AM45" s="28">
        <v>0.87229999999999996</v>
      </c>
      <c r="AN45" s="26">
        <v>0</v>
      </c>
      <c r="AO45" s="26">
        <v>8</v>
      </c>
      <c r="AP45" s="23">
        <v>31.61</v>
      </c>
      <c r="AQ45">
        <f t="shared" si="0"/>
        <v>100</v>
      </c>
    </row>
    <row r="46" spans="1:43" ht="16.5" x14ac:dyDescent="0.3">
      <c r="A46" s="21" t="s">
        <v>602</v>
      </c>
      <c r="B46" s="21" t="s">
        <v>603</v>
      </c>
      <c r="C46" s="21" t="s">
        <v>42</v>
      </c>
      <c r="D46" s="21" t="s">
        <v>581</v>
      </c>
      <c r="E46" s="21" t="s">
        <v>582</v>
      </c>
      <c r="F46" s="21" t="s">
        <v>581</v>
      </c>
      <c r="G46" s="21" t="s">
        <v>582</v>
      </c>
      <c r="H46" s="21" t="s">
        <v>585</v>
      </c>
      <c r="I46" s="21" t="s">
        <v>586</v>
      </c>
      <c r="J46" s="22">
        <v>1</v>
      </c>
      <c r="K46" s="23">
        <v>16.11</v>
      </c>
      <c r="L46" s="23">
        <v>167.81</v>
      </c>
      <c r="M46" s="24">
        <v>99.8</v>
      </c>
      <c r="N46" s="25">
        <v>0.98250000000000004</v>
      </c>
      <c r="O46" s="24">
        <v>0.14000000000000001</v>
      </c>
      <c r="P46" s="24">
        <v>0.05</v>
      </c>
      <c r="Q46" s="25">
        <v>1.7600000000000001E-2</v>
      </c>
      <c r="R46" s="26">
        <v>3</v>
      </c>
      <c r="S46" s="26">
        <v>2</v>
      </c>
      <c r="T46" s="26">
        <v>0</v>
      </c>
      <c r="U46" s="26">
        <v>0</v>
      </c>
      <c r="V46" s="26">
        <v>1</v>
      </c>
      <c r="W46" s="26">
        <v>2</v>
      </c>
      <c r="X46" s="26">
        <v>0</v>
      </c>
      <c r="Y46" s="26">
        <v>1</v>
      </c>
      <c r="Z46" s="25">
        <v>2.3999999999999998E-3</v>
      </c>
      <c r="AA46" s="24">
        <v>99.85</v>
      </c>
      <c r="AB46" s="26">
        <v>13</v>
      </c>
      <c r="AC46" s="26">
        <v>668</v>
      </c>
      <c r="AD46" s="26">
        <v>4492</v>
      </c>
      <c r="AE46" s="26">
        <v>732</v>
      </c>
      <c r="AF46" s="27">
        <v>0</v>
      </c>
      <c r="AG46" s="24">
        <v>99.11</v>
      </c>
      <c r="AH46" s="25">
        <v>0.66669999999999996</v>
      </c>
      <c r="AI46" s="26">
        <v>0</v>
      </c>
      <c r="AJ46" s="24">
        <v>98.04</v>
      </c>
      <c r="AK46" s="25">
        <v>6.4600000000000005E-2</v>
      </c>
      <c r="AL46" s="28">
        <v>1.8800000000000001E-2</v>
      </c>
      <c r="AM46" s="28">
        <v>0.91379999999999995</v>
      </c>
      <c r="AN46" s="26">
        <v>0</v>
      </c>
      <c r="AO46" s="26">
        <v>9</v>
      </c>
      <c r="AP46" s="23">
        <v>39.86</v>
      </c>
      <c r="AQ46">
        <f t="shared" si="0"/>
        <v>100</v>
      </c>
    </row>
    <row r="47" spans="1:43" ht="16.5" x14ac:dyDescent="0.3">
      <c r="A47" s="21" t="s">
        <v>602</v>
      </c>
      <c r="B47" s="21" t="s">
        <v>603</v>
      </c>
      <c r="C47" s="21" t="s">
        <v>42</v>
      </c>
      <c r="D47" s="21" t="s">
        <v>581</v>
      </c>
      <c r="E47" s="21" t="s">
        <v>582</v>
      </c>
      <c r="F47" s="21" t="s">
        <v>581</v>
      </c>
      <c r="G47" s="21" t="s">
        <v>582</v>
      </c>
      <c r="H47" s="21" t="s">
        <v>587</v>
      </c>
      <c r="I47" s="21" t="s">
        <v>588</v>
      </c>
      <c r="J47" s="22">
        <v>1</v>
      </c>
      <c r="K47" s="23">
        <v>19.23</v>
      </c>
      <c r="L47" s="23">
        <v>149.21</v>
      </c>
      <c r="M47" s="24">
        <v>99.88</v>
      </c>
      <c r="N47" s="25">
        <v>0.96630000000000005</v>
      </c>
      <c r="O47" s="26">
        <v>0</v>
      </c>
      <c r="P47" s="26">
        <v>0</v>
      </c>
      <c r="Q47" s="25">
        <v>9.7000000000000003E-3</v>
      </c>
      <c r="R47" s="26">
        <v>2</v>
      </c>
      <c r="S47" s="26">
        <v>0</v>
      </c>
      <c r="T47" s="26">
        <v>0</v>
      </c>
      <c r="U47" s="26">
        <v>0</v>
      </c>
      <c r="V47" s="26">
        <v>2</v>
      </c>
      <c r="W47" s="26">
        <v>0</v>
      </c>
      <c r="X47" s="26">
        <v>0</v>
      </c>
      <c r="Y47" s="26">
        <v>2</v>
      </c>
      <c r="Z47" s="25">
        <v>2.2000000000000001E-3</v>
      </c>
      <c r="AA47" s="24">
        <v>99.88</v>
      </c>
      <c r="AB47" s="26">
        <v>19</v>
      </c>
      <c r="AC47" s="26">
        <v>813</v>
      </c>
      <c r="AD47" s="26">
        <v>7175</v>
      </c>
      <c r="AE47" s="26">
        <v>643</v>
      </c>
      <c r="AF47" s="27">
        <v>0</v>
      </c>
      <c r="AG47" s="24">
        <v>94.82</v>
      </c>
      <c r="AH47" s="27">
        <v>0</v>
      </c>
      <c r="AI47" s="26">
        <v>0</v>
      </c>
      <c r="AJ47" s="24">
        <v>95.13</v>
      </c>
      <c r="AK47" s="25">
        <v>0.2117</v>
      </c>
      <c r="AL47" s="28">
        <v>4.2700000000000002E-2</v>
      </c>
      <c r="AM47" s="28">
        <v>0.93730000000000002</v>
      </c>
      <c r="AN47" s="26">
        <v>0</v>
      </c>
      <c r="AO47" s="26">
        <v>8</v>
      </c>
      <c r="AP47" s="23">
        <v>31.2</v>
      </c>
      <c r="AQ47">
        <f t="shared" si="0"/>
        <v>100</v>
      </c>
    </row>
    <row r="48" spans="1:43" ht="16.5" x14ac:dyDescent="0.3">
      <c r="A48" s="21" t="s">
        <v>602</v>
      </c>
      <c r="B48" s="21" t="s">
        <v>603</v>
      </c>
      <c r="C48" s="21" t="s">
        <v>42</v>
      </c>
      <c r="D48" s="21" t="s">
        <v>581</v>
      </c>
      <c r="E48" s="21" t="s">
        <v>582</v>
      </c>
      <c r="F48" s="21" t="s">
        <v>581</v>
      </c>
      <c r="G48" s="21" t="s">
        <v>582</v>
      </c>
      <c r="H48" s="21" t="s">
        <v>589</v>
      </c>
      <c r="I48" s="21" t="s">
        <v>590</v>
      </c>
      <c r="J48" s="22">
        <v>1</v>
      </c>
      <c r="K48" s="23">
        <v>11.42</v>
      </c>
      <c r="L48" s="23">
        <v>51.58</v>
      </c>
      <c r="M48" s="24">
        <v>99.62</v>
      </c>
      <c r="N48" s="25">
        <v>0.98109999999999997</v>
      </c>
      <c r="O48" s="26">
        <v>0</v>
      </c>
      <c r="P48" s="24">
        <v>0.18</v>
      </c>
      <c r="Q48" s="25">
        <v>1.0999999999999999E-2</v>
      </c>
      <c r="R48" s="26">
        <v>1</v>
      </c>
      <c r="S48" s="26">
        <v>5</v>
      </c>
      <c r="T48" s="26">
        <v>0</v>
      </c>
      <c r="U48" s="26">
        <v>0</v>
      </c>
      <c r="V48" s="26">
        <v>1</v>
      </c>
      <c r="W48" s="26">
        <v>0</v>
      </c>
      <c r="X48" s="26">
        <v>0</v>
      </c>
      <c r="Y48" s="26">
        <v>1</v>
      </c>
      <c r="Z48" s="25">
        <v>1.6999999999999999E-3</v>
      </c>
      <c r="AA48" s="24">
        <v>99.8</v>
      </c>
      <c r="AB48" s="26">
        <v>11</v>
      </c>
      <c r="AC48" s="26">
        <v>495</v>
      </c>
      <c r="AD48" s="26">
        <v>2909</v>
      </c>
      <c r="AE48" s="26">
        <v>738</v>
      </c>
      <c r="AF48" s="27">
        <v>0</v>
      </c>
      <c r="AG48" s="24">
        <v>97.8</v>
      </c>
      <c r="AH48" s="27">
        <v>0</v>
      </c>
      <c r="AI48" s="26">
        <v>0</v>
      </c>
      <c r="AJ48" s="26">
        <v>98</v>
      </c>
      <c r="AK48" s="25">
        <v>0.1095</v>
      </c>
      <c r="AL48" s="28">
        <v>1.3100000000000001E-2</v>
      </c>
      <c r="AM48" s="28">
        <v>0.93859999999999999</v>
      </c>
      <c r="AN48" s="26">
        <v>0</v>
      </c>
      <c r="AO48" s="26">
        <v>9</v>
      </c>
      <c r="AP48" s="23">
        <v>40.43</v>
      </c>
      <c r="AQ48">
        <f t="shared" si="0"/>
        <v>100</v>
      </c>
    </row>
    <row r="49" spans="1:43" ht="16.5" x14ac:dyDescent="0.3">
      <c r="A49" s="21" t="s">
        <v>602</v>
      </c>
      <c r="B49" s="21" t="s">
        <v>603</v>
      </c>
      <c r="C49" s="21" t="s">
        <v>42</v>
      </c>
      <c r="D49" s="21" t="s">
        <v>581</v>
      </c>
      <c r="E49" s="21" t="s">
        <v>582</v>
      </c>
      <c r="F49" s="21" t="s">
        <v>581</v>
      </c>
      <c r="G49" s="21" t="s">
        <v>582</v>
      </c>
      <c r="H49" s="21" t="s">
        <v>591</v>
      </c>
      <c r="I49" s="21" t="s">
        <v>592</v>
      </c>
      <c r="J49" s="22">
        <v>1</v>
      </c>
      <c r="K49" s="23">
        <v>5.32</v>
      </c>
      <c r="L49" s="23">
        <v>49.4</v>
      </c>
      <c r="M49" s="24">
        <v>99.92</v>
      </c>
      <c r="N49" s="25">
        <v>0.97719999999999996</v>
      </c>
      <c r="O49" s="26">
        <v>0</v>
      </c>
      <c r="P49" s="24">
        <v>0.08</v>
      </c>
      <c r="Q49" s="25">
        <v>1.04E-2</v>
      </c>
      <c r="R49" s="26">
        <v>0</v>
      </c>
      <c r="S49" s="26">
        <v>3</v>
      </c>
      <c r="T49" s="26">
        <v>0</v>
      </c>
      <c r="U49" s="26">
        <v>0</v>
      </c>
      <c r="V49" s="26">
        <v>0</v>
      </c>
      <c r="W49" s="26">
        <v>0</v>
      </c>
      <c r="X49" s="26">
        <v>0</v>
      </c>
      <c r="Y49" s="26">
        <v>0</v>
      </c>
      <c r="Z49" s="25">
        <v>3.3E-3</v>
      </c>
      <c r="AA49" s="26">
        <v>100</v>
      </c>
      <c r="AB49" s="26">
        <v>45</v>
      </c>
      <c r="AC49" s="26">
        <v>320</v>
      </c>
      <c r="AD49" s="26">
        <v>4066</v>
      </c>
      <c r="AE49" s="26">
        <v>660</v>
      </c>
      <c r="AF49" s="27">
        <v>0</v>
      </c>
      <c r="AG49" s="24">
        <v>95.44</v>
      </c>
      <c r="AI49" s="26">
        <v>0</v>
      </c>
      <c r="AJ49" s="24">
        <v>93.53</v>
      </c>
      <c r="AK49" s="25">
        <v>0.19969999999999999</v>
      </c>
      <c r="AL49" s="28">
        <v>1.0500000000000001E-2</v>
      </c>
      <c r="AM49" s="28">
        <v>0.83750000000000002</v>
      </c>
      <c r="AN49" s="26">
        <v>0</v>
      </c>
      <c r="AO49" s="26">
        <v>8</v>
      </c>
      <c r="AP49" s="23">
        <v>32.380000000000003</v>
      </c>
      <c r="AQ49">
        <f t="shared" si="0"/>
        <v>100</v>
      </c>
    </row>
    <row r="50" spans="1:43" ht="16.5" x14ac:dyDescent="0.3">
      <c r="A50" s="21" t="s">
        <v>603</v>
      </c>
      <c r="B50" s="21" t="s">
        <v>604</v>
      </c>
      <c r="C50" s="21" t="s">
        <v>42</v>
      </c>
      <c r="D50" s="21" t="s">
        <v>581</v>
      </c>
      <c r="E50" s="21" t="s">
        <v>582</v>
      </c>
      <c r="F50" s="21" t="s">
        <v>581</v>
      </c>
      <c r="G50" s="21" t="s">
        <v>582</v>
      </c>
      <c r="H50" s="21" t="s">
        <v>585</v>
      </c>
      <c r="I50" s="21" t="s">
        <v>586</v>
      </c>
      <c r="J50" s="22">
        <v>1</v>
      </c>
      <c r="K50" s="23">
        <v>11.14</v>
      </c>
      <c r="L50" s="23">
        <v>99.69</v>
      </c>
      <c r="M50" s="24">
        <v>99.97</v>
      </c>
      <c r="N50" s="25">
        <v>0.98470000000000002</v>
      </c>
      <c r="O50" s="24">
        <v>0.45</v>
      </c>
      <c r="P50" s="24">
        <v>0.03</v>
      </c>
      <c r="Q50" s="25">
        <v>9.1999999999999998E-3</v>
      </c>
      <c r="R50" s="26">
        <v>3</v>
      </c>
      <c r="S50" s="26">
        <v>1</v>
      </c>
      <c r="T50" s="26">
        <v>0</v>
      </c>
      <c r="U50" s="26">
        <v>0</v>
      </c>
      <c r="V50" s="26">
        <v>3</v>
      </c>
      <c r="W50" s="26">
        <v>0</v>
      </c>
      <c r="X50" s="26">
        <v>0</v>
      </c>
      <c r="Y50" s="26">
        <v>3</v>
      </c>
      <c r="Z50" s="25">
        <v>2.3E-3</v>
      </c>
      <c r="AA50" s="26">
        <v>100</v>
      </c>
      <c r="AB50" s="26">
        <v>19</v>
      </c>
      <c r="AC50" s="26">
        <v>401</v>
      </c>
      <c r="AD50" s="26">
        <v>3610</v>
      </c>
      <c r="AE50" s="26">
        <v>739</v>
      </c>
      <c r="AF50" s="27">
        <v>0</v>
      </c>
      <c r="AG50" s="24">
        <v>98.15</v>
      </c>
      <c r="AH50" s="27">
        <v>0</v>
      </c>
      <c r="AI50" s="26">
        <v>0</v>
      </c>
      <c r="AJ50" s="24">
        <v>97.77</v>
      </c>
      <c r="AK50" s="25">
        <v>7.2999999999999995E-2</v>
      </c>
      <c r="AL50" s="28">
        <v>1.46E-2</v>
      </c>
      <c r="AM50" s="28">
        <v>0.87729999999999997</v>
      </c>
      <c r="AN50" s="26">
        <v>0</v>
      </c>
      <c r="AO50" s="26">
        <v>9</v>
      </c>
      <c r="AP50" s="23">
        <v>39.450000000000003</v>
      </c>
      <c r="AQ50">
        <f t="shared" si="0"/>
        <v>100</v>
      </c>
    </row>
    <row r="51" spans="1:43" ht="16.5" x14ac:dyDescent="0.3">
      <c r="A51" s="21" t="s">
        <v>603</v>
      </c>
      <c r="B51" s="21" t="s">
        <v>604</v>
      </c>
      <c r="C51" s="21" t="s">
        <v>42</v>
      </c>
      <c r="D51" s="21" t="s">
        <v>581</v>
      </c>
      <c r="E51" s="21" t="s">
        <v>582</v>
      </c>
      <c r="F51" s="21" t="s">
        <v>581</v>
      </c>
      <c r="G51" s="21" t="s">
        <v>582</v>
      </c>
      <c r="H51" s="21" t="s">
        <v>587</v>
      </c>
      <c r="I51" s="21" t="s">
        <v>588</v>
      </c>
      <c r="J51" s="22">
        <v>1</v>
      </c>
      <c r="K51" s="23">
        <v>11.74</v>
      </c>
      <c r="L51" s="23">
        <v>151.25</v>
      </c>
      <c r="M51" s="24">
        <v>99.49</v>
      </c>
      <c r="N51" s="25">
        <v>0.97019999999999995</v>
      </c>
      <c r="O51" s="24">
        <v>0.78</v>
      </c>
      <c r="P51" s="24">
        <v>0.13</v>
      </c>
      <c r="Q51" s="25">
        <v>1.67E-2</v>
      </c>
      <c r="R51" s="26">
        <v>5</v>
      </c>
      <c r="S51" s="26">
        <v>8</v>
      </c>
      <c r="T51" s="26">
        <v>0</v>
      </c>
      <c r="U51" s="26">
        <v>0</v>
      </c>
      <c r="V51" s="26">
        <v>4</v>
      </c>
      <c r="W51" s="26">
        <v>1</v>
      </c>
      <c r="X51" s="26">
        <v>0</v>
      </c>
      <c r="Y51" s="26">
        <v>4</v>
      </c>
      <c r="Z51" s="25">
        <v>2E-3</v>
      </c>
      <c r="AA51" s="24">
        <v>99.62</v>
      </c>
      <c r="AB51" s="26">
        <v>30</v>
      </c>
      <c r="AC51" s="26">
        <v>530</v>
      </c>
      <c r="AD51" s="26">
        <v>6569</v>
      </c>
      <c r="AE51" s="26">
        <v>646</v>
      </c>
      <c r="AF51" s="27">
        <v>0</v>
      </c>
      <c r="AG51" s="24">
        <v>98.83</v>
      </c>
      <c r="AH51" s="27">
        <v>0.2</v>
      </c>
      <c r="AI51" s="26">
        <v>0</v>
      </c>
      <c r="AJ51" s="24">
        <v>96.66</v>
      </c>
      <c r="AK51" s="25">
        <v>0.1522</v>
      </c>
      <c r="AL51" s="28">
        <v>4.3499999999999997E-2</v>
      </c>
      <c r="AM51" s="28">
        <v>0.9647</v>
      </c>
      <c r="AN51" s="26">
        <v>0</v>
      </c>
      <c r="AO51" s="26">
        <v>8</v>
      </c>
      <c r="AP51" s="23">
        <v>33.14</v>
      </c>
      <c r="AQ51">
        <f t="shared" si="0"/>
        <v>100</v>
      </c>
    </row>
    <row r="52" spans="1:43" ht="16.5" x14ac:dyDescent="0.3">
      <c r="A52" s="21" t="s">
        <v>603</v>
      </c>
      <c r="B52" s="21" t="s">
        <v>604</v>
      </c>
      <c r="C52" s="21" t="s">
        <v>42</v>
      </c>
      <c r="D52" s="21" t="s">
        <v>581</v>
      </c>
      <c r="E52" s="21" t="s">
        <v>582</v>
      </c>
      <c r="F52" s="21" t="s">
        <v>581</v>
      </c>
      <c r="G52" s="21" t="s">
        <v>582</v>
      </c>
      <c r="H52" s="21" t="s">
        <v>589</v>
      </c>
      <c r="I52" s="21" t="s">
        <v>590</v>
      </c>
      <c r="J52" s="22">
        <v>1</v>
      </c>
      <c r="K52" s="23">
        <v>6.73</v>
      </c>
      <c r="L52" s="23">
        <v>39.99</v>
      </c>
      <c r="M52" s="26">
        <v>100</v>
      </c>
      <c r="N52" s="25">
        <v>0.98480000000000001</v>
      </c>
      <c r="O52" s="24">
        <v>0.32</v>
      </c>
      <c r="P52" s="26">
        <v>0</v>
      </c>
      <c r="Q52" s="25">
        <v>6.3E-3</v>
      </c>
      <c r="R52" s="26">
        <v>1</v>
      </c>
      <c r="S52" s="26">
        <v>0</v>
      </c>
      <c r="T52" s="26">
        <v>0</v>
      </c>
      <c r="U52" s="26">
        <v>0</v>
      </c>
      <c r="V52" s="26">
        <v>1</v>
      </c>
      <c r="W52" s="26">
        <v>0</v>
      </c>
      <c r="X52" s="26">
        <v>0</v>
      </c>
      <c r="Y52" s="26">
        <v>1</v>
      </c>
      <c r="Z52" s="25">
        <v>2E-3</v>
      </c>
      <c r="AA52" s="26">
        <v>100</v>
      </c>
      <c r="AB52" s="26">
        <v>22</v>
      </c>
      <c r="AC52" s="26">
        <v>301</v>
      </c>
      <c r="AD52" s="26">
        <v>2280</v>
      </c>
      <c r="AE52" s="26">
        <v>739</v>
      </c>
      <c r="AF52" s="27">
        <v>0</v>
      </c>
      <c r="AG52" s="24">
        <v>98.48</v>
      </c>
      <c r="AH52" s="27">
        <v>0</v>
      </c>
      <c r="AI52" s="26">
        <v>0</v>
      </c>
      <c r="AJ52" s="24">
        <v>97.67</v>
      </c>
      <c r="AK52" s="25">
        <v>0.18970000000000001</v>
      </c>
      <c r="AL52" s="28">
        <v>1.5100000000000001E-2</v>
      </c>
      <c r="AM52" s="28">
        <v>0.90439999999999998</v>
      </c>
      <c r="AN52" s="26">
        <v>0</v>
      </c>
      <c r="AO52" s="26">
        <v>9</v>
      </c>
      <c r="AP52" s="23">
        <v>41.35</v>
      </c>
      <c r="AQ52">
        <f t="shared" si="0"/>
        <v>100</v>
      </c>
    </row>
    <row r="53" spans="1:43" ht="16.5" x14ac:dyDescent="0.3">
      <c r="A53" s="21" t="s">
        <v>603</v>
      </c>
      <c r="B53" s="21" t="s">
        <v>604</v>
      </c>
      <c r="C53" s="21" t="s">
        <v>42</v>
      </c>
      <c r="D53" s="21" t="s">
        <v>581</v>
      </c>
      <c r="E53" s="21" t="s">
        <v>582</v>
      </c>
      <c r="F53" s="21" t="s">
        <v>581</v>
      </c>
      <c r="G53" s="21" t="s">
        <v>582</v>
      </c>
      <c r="H53" s="21" t="s">
        <v>591</v>
      </c>
      <c r="I53" s="21" t="s">
        <v>592</v>
      </c>
      <c r="J53" s="22">
        <v>1</v>
      </c>
      <c r="K53" s="23">
        <v>3.28</v>
      </c>
      <c r="L53" s="23">
        <v>25.08</v>
      </c>
      <c r="M53" s="24">
        <v>99.53</v>
      </c>
      <c r="N53" s="25">
        <v>0.97599999999999998</v>
      </c>
      <c r="O53" s="26">
        <v>0</v>
      </c>
      <c r="P53" s="26">
        <v>0</v>
      </c>
      <c r="Q53" s="25">
        <v>6.3E-3</v>
      </c>
      <c r="R53" s="26">
        <v>0</v>
      </c>
      <c r="S53" s="26">
        <v>0</v>
      </c>
      <c r="T53" s="26">
        <v>0</v>
      </c>
      <c r="U53" s="26">
        <v>0</v>
      </c>
      <c r="V53" s="26">
        <v>0</v>
      </c>
      <c r="W53" s="26">
        <v>0</v>
      </c>
      <c r="X53" s="26">
        <v>0</v>
      </c>
      <c r="Y53" s="26">
        <v>0</v>
      </c>
      <c r="Z53" s="25">
        <v>3.5999999999999999E-3</v>
      </c>
      <c r="AA53" s="24">
        <v>99.53</v>
      </c>
      <c r="AB53" s="26">
        <v>67</v>
      </c>
      <c r="AC53" s="26">
        <v>211</v>
      </c>
      <c r="AD53" s="26">
        <v>3066</v>
      </c>
      <c r="AE53" s="26">
        <v>663</v>
      </c>
      <c r="AF53" s="27">
        <v>0</v>
      </c>
      <c r="AG53" s="24">
        <v>94.68</v>
      </c>
      <c r="AI53" s="26">
        <v>0</v>
      </c>
      <c r="AJ53" s="24">
        <v>92.52</v>
      </c>
      <c r="AK53" s="25">
        <v>0.2334</v>
      </c>
      <c r="AL53" s="28">
        <v>1.3299999999999999E-2</v>
      </c>
      <c r="AM53" s="28">
        <v>0.68669999999999998</v>
      </c>
      <c r="AN53" s="26">
        <v>0</v>
      </c>
      <c r="AO53" s="26">
        <v>8</v>
      </c>
      <c r="AP53" s="23">
        <v>31.5</v>
      </c>
      <c r="AQ53">
        <f t="shared" si="0"/>
        <v>100</v>
      </c>
    </row>
    <row r="54" spans="1:43" ht="16.5" x14ac:dyDescent="0.3">
      <c r="A54" s="21" t="s">
        <v>604</v>
      </c>
      <c r="B54" s="21" t="s">
        <v>605</v>
      </c>
      <c r="C54" s="21" t="s">
        <v>42</v>
      </c>
      <c r="D54" s="21" t="s">
        <v>581</v>
      </c>
      <c r="E54" s="21" t="s">
        <v>582</v>
      </c>
      <c r="F54" s="21" t="s">
        <v>581</v>
      </c>
      <c r="G54" s="21" t="s">
        <v>582</v>
      </c>
      <c r="H54" s="21" t="s">
        <v>585</v>
      </c>
      <c r="I54" s="21" t="s">
        <v>586</v>
      </c>
      <c r="J54" s="22">
        <v>1</v>
      </c>
      <c r="K54" s="23">
        <v>4.3600000000000003</v>
      </c>
      <c r="L54" s="29">
        <v>45</v>
      </c>
      <c r="M54" s="26">
        <v>100</v>
      </c>
      <c r="N54" s="25">
        <v>0.98499999999999999</v>
      </c>
      <c r="O54" s="26">
        <v>0</v>
      </c>
      <c r="P54" s="26">
        <v>0</v>
      </c>
      <c r="Q54" s="25">
        <v>7.3000000000000001E-3</v>
      </c>
      <c r="R54" s="26">
        <v>1</v>
      </c>
      <c r="S54" s="26">
        <v>0</v>
      </c>
      <c r="T54" s="26">
        <v>0</v>
      </c>
      <c r="U54" s="26">
        <v>0</v>
      </c>
      <c r="V54" s="26">
        <v>1</v>
      </c>
      <c r="W54" s="26">
        <v>0</v>
      </c>
      <c r="X54" s="26">
        <v>0</v>
      </c>
      <c r="Y54" s="26">
        <v>1</v>
      </c>
      <c r="Z54" s="25">
        <v>2.2000000000000001E-3</v>
      </c>
      <c r="AA54" s="26">
        <v>100</v>
      </c>
      <c r="AB54" s="26">
        <v>42</v>
      </c>
      <c r="AC54" s="26">
        <v>171</v>
      </c>
      <c r="AD54" s="26">
        <v>2766</v>
      </c>
      <c r="AE54" s="26">
        <v>739</v>
      </c>
      <c r="AF54" s="27">
        <v>0</v>
      </c>
      <c r="AG54" s="24">
        <v>98.73</v>
      </c>
      <c r="AH54" s="27">
        <v>0</v>
      </c>
      <c r="AI54" s="26">
        <v>0</v>
      </c>
      <c r="AJ54" s="24">
        <v>97.54</v>
      </c>
      <c r="AK54" s="25">
        <v>5.9799999999999999E-2</v>
      </c>
      <c r="AL54" s="28">
        <v>3.0800000000000001E-2</v>
      </c>
      <c r="AM54" s="28">
        <v>0.79779999999999995</v>
      </c>
      <c r="AN54" s="26">
        <v>0</v>
      </c>
      <c r="AO54" s="26">
        <v>9</v>
      </c>
      <c r="AP54" s="23">
        <v>38.29</v>
      </c>
      <c r="AQ54">
        <f t="shared" si="0"/>
        <v>100</v>
      </c>
    </row>
    <row r="55" spans="1:43" ht="16.5" x14ac:dyDescent="0.3">
      <c r="A55" s="21" t="s">
        <v>604</v>
      </c>
      <c r="B55" s="21" t="s">
        <v>605</v>
      </c>
      <c r="C55" s="21" t="s">
        <v>42</v>
      </c>
      <c r="D55" s="21" t="s">
        <v>581</v>
      </c>
      <c r="E55" s="21" t="s">
        <v>582</v>
      </c>
      <c r="F55" s="21" t="s">
        <v>581</v>
      </c>
      <c r="G55" s="21" t="s">
        <v>582</v>
      </c>
      <c r="H55" s="21" t="s">
        <v>587</v>
      </c>
      <c r="I55" s="21" t="s">
        <v>588</v>
      </c>
      <c r="J55" s="22">
        <v>1</v>
      </c>
      <c r="K55" s="23">
        <v>5.34</v>
      </c>
      <c r="L55" s="23">
        <v>111.55</v>
      </c>
      <c r="M55" s="24">
        <v>99.98</v>
      </c>
      <c r="N55" s="25">
        <v>0.96689999999999998</v>
      </c>
      <c r="O55" s="24">
        <v>0.84</v>
      </c>
      <c r="P55" s="24">
        <v>0.02</v>
      </c>
      <c r="Q55" s="25">
        <v>1.9699999999999999E-2</v>
      </c>
      <c r="R55" s="26">
        <v>5</v>
      </c>
      <c r="S55" s="26">
        <v>1</v>
      </c>
      <c r="T55" s="26">
        <v>0</v>
      </c>
      <c r="U55" s="26">
        <v>0</v>
      </c>
      <c r="V55" s="26">
        <v>5</v>
      </c>
      <c r="W55" s="26">
        <v>0</v>
      </c>
      <c r="X55" s="26">
        <v>0</v>
      </c>
      <c r="Y55" s="26">
        <v>5</v>
      </c>
      <c r="Z55" s="25">
        <v>1.9E-3</v>
      </c>
      <c r="AA55" s="26">
        <v>100</v>
      </c>
      <c r="AB55" s="26">
        <v>40</v>
      </c>
      <c r="AC55" s="26">
        <v>239</v>
      </c>
      <c r="AD55" s="26">
        <v>4933</v>
      </c>
      <c r="AE55" s="26">
        <v>654</v>
      </c>
      <c r="AF55" s="27">
        <v>0</v>
      </c>
      <c r="AG55" s="24">
        <v>99.09</v>
      </c>
      <c r="AH55" s="27">
        <v>0</v>
      </c>
      <c r="AI55" s="26">
        <v>0</v>
      </c>
      <c r="AJ55" s="24">
        <v>97.53</v>
      </c>
      <c r="AK55" s="25">
        <v>0.12330000000000001</v>
      </c>
      <c r="AL55" s="28">
        <v>9.1000000000000004E-3</v>
      </c>
      <c r="AM55" s="28">
        <v>0.76229999999999998</v>
      </c>
      <c r="AN55" s="26">
        <v>0</v>
      </c>
      <c r="AO55" s="26">
        <v>8</v>
      </c>
      <c r="AP55" s="23">
        <v>37.19</v>
      </c>
      <c r="AQ55">
        <f t="shared" si="0"/>
        <v>100</v>
      </c>
    </row>
    <row r="56" spans="1:43" ht="16.5" x14ac:dyDescent="0.3">
      <c r="A56" s="21" t="s">
        <v>604</v>
      </c>
      <c r="B56" s="21" t="s">
        <v>605</v>
      </c>
      <c r="C56" s="21" t="s">
        <v>42</v>
      </c>
      <c r="D56" s="21" t="s">
        <v>581</v>
      </c>
      <c r="E56" s="21" t="s">
        <v>582</v>
      </c>
      <c r="F56" s="21" t="s">
        <v>581</v>
      </c>
      <c r="G56" s="21" t="s">
        <v>582</v>
      </c>
      <c r="H56" s="21" t="s">
        <v>589</v>
      </c>
      <c r="I56" s="21" t="s">
        <v>590</v>
      </c>
      <c r="J56" s="22">
        <v>1</v>
      </c>
      <c r="K56" s="23">
        <v>2.73</v>
      </c>
      <c r="L56" s="23">
        <v>19.760000000000002</v>
      </c>
      <c r="M56" s="24">
        <v>99.81</v>
      </c>
      <c r="N56" s="25">
        <v>0.98650000000000004</v>
      </c>
      <c r="O56" s="24">
        <v>0.71</v>
      </c>
      <c r="P56" s="24">
        <v>0.19</v>
      </c>
      <c r="Q56" s="25">
        <v>1.0200000000000001E-2</v>
      </c>
      <c r="R56" s="26">
        <v>1</v>
      </c>
      <c r="S56" s="26">
        <v>3</v>
      </c>
      <c r="T56" s="26">
        <v>0</v>
      </c>
      <c r="U56" s="26">
        <v>0</v>
      </c>
      <c r="V56" s="26">
        <v>1</v>
      </c>
      <c r="W56" s="26">
        <v>0</v>
      </c>
      <c r="X56" s="26">
        <v>0</v>
      </c>
      <c r="Y56" s="26">
        <v>1</v>
      </c>
      <c r="Z56" s="25">
        <v>2E-3</v>
      </c>
      <c r="AA56" s="26">
        <v>100</v>
      </c>
      <c r="AB56" s="26">
        <v>51</v>
      </c>
      <c r="AC56" s="26">
        <v>132</v>
      </c>
      <c r="AD56" s="26">
        <v>1563</v>
      </c>
      <c r="AE56" s="26">
        <v>737</v>
      </c>
      <c r="AF56" s="27">
        <v>0</v>
      </c>
      <c r="AG56" s="26">
        <v>100</v>
      </c>
      <c r="AH56" s="27">
        <v>0</v>
      </c>
      <c r="AI56" s="26">
        <v>0</v>
      </c>
      <c r="AJ56" s="24">
        <v>98.27</v>
      </c>
      <c r="AK56" s="25">
        <v>0.1181</v>
      </c>
      <c r="AL56" s="28">
        <v>6.8999999999999999E-3</v>
      </c>
      <c r="AM56" s="28">
        <v>0.69279999999999997</v>
      </c>
      <c r="AN56" s="26">
        <v>0</v>
      </c>
      <c r="AO56" s="26">
        <v>9</v>
      </c>
      <c r="AP56" s="23">
        <v>36.29</v>
      </c>
      <c r="AQ56">
        <f t="shared" si="0"/>
        <v>100</v>
      </c>
    </row>
    <row r="57" spans="1:43" ht="16.5" x14ac:dyDescent="0.3">
      <c r="A57" s="21" t="s">
        <v>604</v>
      </c>
      <c r="B57" s="21" t="s">
        <v>605</v>
      </c>
      <c r="C57" s="21" t="s">
        <v>42</v>
      </c>
      <c r="D57" s="21" t="s">
        <v>581</v>
      </c>
      <c r="E57" s="21" t="s">
        <v>582</v>
      </c>
      <c r="F57" s="21" t="s">
        <v>581</v>
      </c>
      <c r="G57" s="21" t="s">
        <v>582</v>
      </c>
      <c r="H57" s="21" t="s">
        <v>591</v>
      </c>
      <c r="I57" s="21" t="s">
        <v>592</v>
      </c>
      <c r="J57" s="22">
        <v>1</v>
      </c>
      <c r="K57" s="29">
        <v>2</v>
      </c>
      <c r="L57" s="23">
        <v>22.56</v>
      </c>
      <c r="M57" s="24">
        <v>98.88</v>
      </c>
      <c r="N57" s="25">
        <v>0.98560000000000003</v>
      </c>
      <c r="O57" s="26">
        <v>0</v>
      </c>
      <c r="P57" s="24">
        <v>0.05</v>
      </c>
      <c r="Q57" s="25">
        <v>6.7000000000000002E-3</v>
      </c>
      <c r="R57" s="26">
        <v>0</v>
      </c>
      <c r="S57" s="26">
        <v>1</v>
      </c>
      <c r="T57" s="26">
        <v>0</v>
      </c>
      <c r="U57" s="26">
        <v>0</v>
      </c>
      <c r="V57" s="26">
        <v>0</v>
      </c>
      <c r="W57" s="26">
        <v>0</v>
      </c>
      <c r="X57" s="26">
        <v>0</v>
      </c>
      <c r="Y57" s="26">
        <v>0</v>
      </c>
      <c r="Z57" s="25">
        <v>1.9E-3</v>
      </c>
      <c r="AA57" s="24">
        <v>98.92</v>
      </c>
      <c r="AB57" s="26">
        <v>40</v>
      </c>
      <c r="AC57" s="26">
        <v>93</v>
      </c>
      <c r="AD57" s="26">
        <v>2192</v>
      </c>
      <c r="AE57" s="26">
        <v>658</v>
      </c>
      <c r="AF57" s="27">
        <v>0</v>
      </c>
      <c r="AG57" s="24">
        <v>98.06</v>
      </c>
      <c r="AI57" s="26">
        <v>0</v>
      </c>
      <c r="AJ57" s="26">
        <v>97</v>
      </c>
      <c r="AK57" s="25">
        <v>0.11169999999999999</v>
      </c>
      <c r="AL57" s="28">
        <v>4.8999999999999998E-3</v>
      </c>
      <c r="AM57" s="28">
        <v>0.58720000000000006</v>
      </c>
      <c r="AN57" s="26">
        <v>0</v>
      </c>
      <c r="AO57" s="26">
        <v>8</v>
      </c>
      <c r="AP57" s="23">
        <v>32.729999999999997</v>
      </c>
      <c r="AQ57">
        <f t="shared" si="0"/>
        <v>100</v>
      </c>
    </row>
    <row r="58" spans="1:43" ht="16.5" x14ac:dyDescent="0.3">
      <c r="A58" s="21" t="s">
        <v>605</v>
      </c>
      <c r="B58" s="21" t="s">
        <v>606</v>
      </c>
      <c r="C58" s="21" t="s">
        <v>42</v>
      </c>
      <c r="D58" s="21" t="s">
        <v>581</v>
      </c>
      <c r="E58" s="21" t="s">
        <v>582</v>
      </c>
      <c r="F58" s="21" t="s">
        <v>581</v>
      </c>
      <c r="G58" s="21" t="s">
        <v>582</v>
      </c>
      <c r="H58" s="21" t="s">
        <v>585</v>
      </c>
      <c r="I58" s="21" t="s">
        <v>586</v>
      </c>
      <c r="J58" s="22">
        <v>1</v>
      </c>
      <c r="K58" s="23">
        <v>1.29</v>
      </c>
      <c r="L58" s="23">
        <v>34.17</v>
      </c>
      <c r="M58" s="26">
        <v>100</v>
      </c>
      <c r="N58" s="25">
        <v>0.98540000000000005</v>
      </c>
      <c r="O58" s="26">
        <v>0</v>
      </c>
      <c r="P58" s="26">
        <v>0</v>
      </c>
      <c r="Q58" s="25">
        <v>8.2000000000000007E-3</v>
      </c>
      <c r="R58" s="26">
        <v>0</v>
      </c>
      <c r="S58" s="26">
        <v>0</v>
      </c>
      <c r="T58" s="26">
        <v>0</v>
      </c>
      <c r="U58" s="26">
        <v>0</v>
      </c>
      <c r="V58" s="26">
        <v>0</v>
      </c>
      <c r="W58" s="26">
        <v>0</v>
      </c>
      <c r="X58" s="26">
        <v>0</v>
      </c>
      <c r="Y58" s="26">
        <v>0</v>
      </c>
      <c r="Z58" s="25">
        <v>2.3999999999999998E-3</v>
      </c>
      <c r="AA58" s="26">
        <v>100</v>
      </c>
      <c r="AB58" s="26">
        <v>47</v>
      </c>
      <c r="AC58" s="26">
        <v>73</v>
      </c>
      <c r="AD58" s="26">
        <v>2422</v>
      </c>
      <c r="AE58" s="26">
        <v>734</v>
      </c>
      <c r="AF58" s="27">
        <v>0</v>
      </c>
      <c r="AG58" s="24">
        <v>98.86</v>
      </c>
      <c r="AI58" s="26">
        <v>0</v>
      </c>
      <c r="AJ58" s="24">
        <v>98.59</v>
      </c>
      <c r="AK58" s="25">
        <v>7.9500000000000001E-2</v>
      </c>
      <c r="AL58" s="28">
        <v>1.7000000000000001E-2</v>
      </c>
      <c r="AM58" s="28">
        <v>0.3155</v>
      </c>
      <c r="AN58" s="26">
        <v>0</v>
      </c>
      <c r="AO58" s="26">
        <v>9</v>
      </c>
      <c r="AP58" s="23">
        <v>36.590000000000003</v>
      </c>
      <c r="AQ58">
        <f t="shared" si="0"/>
        <v>100</v>
      </c>
    </row>
    <row r="59" spans="1:43" ht="16.5" x14ac:dyDescent="0.3">
      <c r="A59" s="21" t="s">
        <v>605</v>
      </c>
      <c r="B59" s="21" t="s">
        <v>606</v>
      </c>
      <c r="C59" s="21" t="s">
        <v>42</v>
      </c>
      <c r="D59" s="21" t="s">
        <v>581</v>
      </c>
      <c r="E59" s="21" t="s">
        <v>582</v>
      </c>
      <c r="F59" s="21" t="s">
        <v>581</v>
      </c>
      <c r="G59" s="21" t="s">
        <v>582</v>
      </c>
      <c r="H59" s="21" t="s">
        <v>587</v>
      </c>
      <c r="I59" s="21" t="s">
        <v>588</v>
      </c>
      <c r="J59" s="22">
        <v>1</v>
      </c>
      <c r="K59" s="23">
        <v>1.56</v>
      </c>
      <c r="L59" s="23">
        <v>75.5</v>
      </c>
      <c r="M59" s="24">
        <v>98.06</v>
      </c>
      <c r="N59" s="25">
        <v>0.97299999999999998</v>
      </c>
      <c r="O59" s="26">
        <v>0</v>
      </c>
      <c r="P59" s="26">
        <v>0</v>
      </c>
      <c r="Q59" s="25">
        <v>1.9900000000000001E-2</v>
      </c>
      <c r="R59" s="26">
        <v>0</v>
      </c>
      <c r="S59" s="26">
        <v>0</v>
      </c>
      <c r="T59" s="26">
        <v>0</v>
      </c>
      <c r="U59" s="26">
        <v>0</v>
      </c>
      <c r="V59" s="26">
        <v>0</v>
      </c>
      <c r="W59" s="26">
        <v>0</v>
      </c>
      <c r="X59" s="26">
        <v>0</v>
      </c>
      <c r="Y59" s="26">
        <v>0</v>
      </c>
      <c r="Z59" s="25">
        <v>2.0999999999999999E-3</v>
      </c>
      <c r="AA59" s="24">
        <v>98.06</v>
      </c>
      <c r="AB59" s="26">
        <v>54</v>
      </c>
      <c r="AC59" s="26">
        <v>103</v>
      </c>
      <c r="AD59" s="26">
        <v>3856</v>
      </c>
      <c r="AE59" s="26">
        <v>652</v>
      </c>
      <c r="AF59" s="27">
        <v>0</v>
      </c>
      <c r="AG59" s="24">
        <v>98.98</v>
      </c>
      <c r="AI59" s="26">
        <v>0</v>
      </c>
      <c r="AJ59" s="24">
        <v>99.04</v>
      </c>
      <c r="AK59" s="25">
        <v>0.11219999999999999</v>
      </c>
      <c r="AL59" s="28">
        <v>5.0999999999999997E-2</v>
      </c>
      <c r="AM59" s="28">
        <v>0.42349999999999999</v>
      </c>
      <c r="AN59" s="26">
        <v>0</v>
      </c>
      <c r="AO59" s="26">
        <v>8</v>
      </c>
      <c r="AP59" s="23">
        <v>34.659999999999997</v>
      </c>
      <c r="AQ59">
        <f t="shared" si="0"/>
        <v>100</v>
      </c>
    </row>
    <row r="60" spans="1:43" ht="16.5" x14ac:dyDescent="0.3">
      <c r="A60" s="21" t="s">
        <v>605</v>
      </c>
      <c r="B60" s="21" t="s">
        <v>606</v>
      </c>
      <c r="C60" s="21" t="s">
        <v>42</v>
      </c>
      <c r="D60" s="21" t="s">
        <v>581</v>
      </c>
      <c r="E60" s="21" t="s">
        <v>582</v>
      </c>
      <c r="F60" s="21" t="s">
        <v>581</v>
      </c>
      <c r="G60" s="21" t="s">
        <v>582</v>
      </c>
      <c r="H60" s="21" t="s">
        <v>589</v>
      </c>
      <c r="I60" s="21" t="s">
        <v>590</v>
      </c>
      <c r="J60" s="22">
        <v>1</v>
      </c>
      <c r="K60" s="23">
        <v>0.73</v>
      </c>
      <c r="L60" s="23">
        <v>9.3699999999999992</v>
      </c>
      <c r="M60" s="24">
        <v>99.92</v>
      </c>
      <c r="N60" s="25">
        <v>0.98850000000000005</v>
      </c>
      <c r="O60" s="26">
        <v>0</v>
      </c>
      <c r="P60" s="24">
        <v>0.08</v>
      </c>
      <c r="Q60" s="25">
        <v>3.7000000000000002E-3</v>
      </c>
      <c r="R60" s="26">
        <v>0</v>
      </c>
      <c r="S60" s="26">
        <v>1</v>
      </c>
      <c r="T60" s="26">
        <v>0</v>
      </c>
      <c r="U60" s="26">
        <v>0</v>
      </c>
      <c r="V60" s="26">
        <v>0</v>
      </c>
      <c r="W60" s="26">
        <v>0</v>
      </c>
      <c r="X60" s="26">
        <v>0</v>
      </c>
      <c r="Y60" s="26">
        <v>0</v>
      </c>
      <c r="Z60" s="25">
        <v>2.0999999999999999E-3</v>
      </c>
      <c r="AA60" s="26">
        <v>100</v>
      </c>
      <c r="AB60" s="26">
        <v>50</v>
      </c>
      <c r="AC60" s="26">
        <v>61</v>
      </c>
      <c r="AD60" s="26">
        <v>1263</v>
      </c>
      <c r="AE60" s="26">
        <v>736</v>
      </c>
      <c r="AF60" s="27">
        <v>0</v>
      </c>
      <c r="AG60" s="26">
        <v>100</v>
      </c>
      <c r="AI60" s="26">
        <v>0</v>
      </c>
      <c r="AJ60" s="24">
        <v>98.73</v>
      </c>
      <c r="AK60" s="27">
        <v>0</v>
      </c>
      <c r="AL60" s="22">
        <v>0</v>
      </c>
      <c r="AM60" s="28">
        <v>0.21629999999999999</v>
      </c>
      <c r="AN60" s="26">
        <v>0</v>
      </c>
      <c r="AO60" s="26">
        <v>9</v>
      </c>
      <c r="AP60" s="23">
        <v>40.950000000000003</v>
      </c>
      <c r="AQ60">
        <f t="shared" si="0"/>
        <v>100</v>
      </c>
    </row>
    <row r="61" spans="1:43" ht="16.5" x14ac:dyDescent="0.3">
      <c r="A61" s="21" t="s">
        <v>605</v>
      </c>
      <c r="B61" s="21" t="s">
        <v>606</v>
      </c>
      <c r="C61" s="21" t="s">
        <v>42</v>
      </c>
      <c r="D61" s="21" t="s">
        <v>581</v>
      </c>
      <c r="E61" s="21" t="s">
        <v>582</v>
      </c>
      <c r="F61" s="21" t="s">
        <v>581</v>
      </c>
      <c r="G61" s="21" t="s">
        <v>582</v>
      </c>
      <c r="H61" s="21" t="s">
        <v>591</v>
      </c>
      <c r="I61" s="21" t="s">
        <v>592</v>
      </c>
      <c r="J61" s="22">
        <v>1</v>
      </c>
      <c r="K61" s="23">
        <v>0.64</v>
      </c>
      <c r="L61" s="23">
        <v>11.36</v>
      </c>
      <c r="M61" s="26">
        <v>100</v>
      </c>
      <c r="N61" s="25">
        <v>0.98340000000000005</v>
      </c>
      <c r="O61" s="26">
        <v>0</v>
      </c>
      <c r="P61" s="26">
        <v>0</v>
      </c>
      <c r="Q61" s="25">
        <v>5.0000000000000001E-3</v>
      </c>
      <c r="R61" s="26">
        <v>0</v>
      </c>
      <c r="S61" s="26">
        <v>0</v>
      </c>
      <c r="T61" s="26">
        <v>0</v>
      </c>
      <c r="U61" s="26">
        <v>0</v>
      </c>
      <c r="V61" s="26">
        <v>0</v>
      </c>
      <c r="W61" s="26">
        <v>0</v>
      </c>
      <c r="X61" s="26">
        <v>0</v>
      </c>
      <c r="Y61" s="26">
        <v>0</v>
      </c>
      <c r="Z61" s="25">
        <v>1.6000000000000001E-3</v>
      </c>
      <c r="AA61" s="26">
        <v>100</v>
      </c>
      <c r="AB61" s="26">
        <v>20</v>
      </c>
      <c r="AC61" s="26">
        <v>26</v>
      </c>
      <c r="AD61" s="26">
        <v>1763</v>
      </c>
      <c r="AE61" s="26">
        <v>658</v>
      </c>
      <c r="AF61" s="27">
        <v>0</v>
      </c>
      <c r="AG61" s="26">
        <v>100</v>
      </c>
      <c r="AI61" s="26">
        <v>0</v>
      </c>
      <c r="AJ61" s="24">
        <v>93.16</v>
      </c>
      <c r="AK61" s="25">
        <v>3.6999999999999998E-2</v>
      </c>
      <c r="AL61" s="22">
        <v>0</v>
      </c>
      <c r="AM61" s="28">
        <v>0.33639999999999998</v>
      </c>
      <c r="AN61" s="26">
        <v>0</v>
      </c>
      <c r="AO61" s="26">
        <v>8</v>
      </c>
      <c r="AP61" s="23">
        <v>37.56</v>
      </c>
      <c r="AQ61">
        <f t="shared" si="0"/>
        <v>100</v>
      </c>
    </row>
    <row r="62" spans="1:43" ht="16.5" x14ac:dyDescent="0.3">
      <c r="A62" s="21" t="s">
        <v>606</v>
      </c>
      <c r="B62" s="21" t="s">
        <v>607</v>
      </c>
      <c r="C62" s="21" t="s">
        <v>42</v>
      </c>
      <c r="D62" s="21" t="s">
        <v>581</v>
      </c>
      <c r="E62" s="21" t="s">
        <v>582</v>
      </c>
      <c r="F62" s="21" t="s">
        <v>581</v>
      </c>
      <c r="G62" s="21" t="s">
        <v>582</v>
      </c>
      <c r="H62" s="21" t="s">
        <v>585</v>
      </c>
      <c r="I62" s="21" t="s">
        <v>586</v>
      </c>
      <c r="J62" s="22">
        <v>1</v>
      </c>
      <c r="K62" s="29">
        <v>1</v>
      </c>
      <c r="L62" s="23">
        <v>45.01</v>
      </c>
      <c r="M62" s="24">
        <v>97.96</v>
      </c>
      <c r="N62" s="25">
        <v>0.98960000000000004</v>
      </c>
      <c r="O62" s="26">
        <v>0</v>
      </c>
      <c r="P62" s="26">
        <v>0</v>
      </c>
      <c r="Q62" s="25">
        <v>5.4000000000000003E-3</v>
      </c>
      <c r="R62" s="26">
        <v>0</v>
      </c>
      <c r="S62" s="26">
        <v>0</v>
      </c>
      <c r="T62" s="26">
        <v>0</v>
      </c>
      <c r="U62" s="26">
        <v>0</v>
      </c>
      <c r="V62" s="26">
        <v>0</v>
      </c>
      <c r="W62" s="26">
        <v>0</v>
      </c>
      <c r="X62" s="26">
        <v>0</v>
      </c>
      <c r="Y62" s="26">
        <v>0</v>
      </c>
      <c r="Z62" s="25">
        <v>1.9E-3</v>
      </c>
      <c r="AA62" s="24">
        <v>97.96</v>
      </c>
      <c r="AB62" s="26">
        <v>38</v>
      </c>
      <c r="AC62" s="26">
        <v>49</v>
      </c>
      <c r="AD62" s="26">
        <v>1703</v>
      </c>
      <c r="AE62" s="26">
        <v>543</v>
      </c>
      <c r="AF62" s="27">
        <v>0</v>
      </c>
      <c r="AG62" s="26">
        <v>100</v>
      </c>
      <c r="AI62" s="26">
        <v>0</v>
      </c>
      <c r="AJ62" s="24">
        <v>95.65</v>
      </c>
      <c r="AK62" s="27">
        <v>0</v>
      </c>
      <c r="AL62" s="22">
        <v>0</v>
      </c>
      <c r="AM62" s="28">
        <v>0.17369999999999999</v>
      </c>
      <c r="AN62" s="26">
        <v>0</v>
      </c>
      <c r="AO62" s="26">
        <v>9</v>
      </c>
      <c r="AP62" s="23">
        <v>40.909999999999997</v>
      </c>
      <c r="AQ62">
        <f t="shared" si="0"/>
        <v>100</v>
      </c>
    </row>
    <row r="63" spans="1:43" ht="16.5" x14ac:dyDescent="0.3">
      <c r="A63" s="21" t="s">
        <v>606</v>
      </c>
      <c r="B63" s="21" t="s">
        <v>607</v>
      </c>
      <c r="C63" s="21" t="s">
        <v>42</v>
      </c>
      <c r="D63" s="21" t="s">
        <v>581</v>
      </c>
      <c r="E63" s="21" t="s">
        <v>582</v>
      </c>
      <c r="F63" s="21" t="s">
        <v>581</v>
      </c>
      <c r="G63" s="21" t="s">
        <v>582</v>
      </c>
      <c r="H63" s="21" t="s">
        <v>587</v>
      </c>
      <c r="I63" s="21" t="s">
        <v>588</v>
      </c>
      <c r="J63" s="22">
        <v>1</v>
      </c>
      <c r="K63" s="23">
        <v>1.31</v>
      </c>
      <c r="L63" s="23">
        <v>53.92</v>
      </c>
      <c r="M63" s="24">
        <v>95.09</v>
      </c>
      <c r="N63" s="25">
        <v>0.97889999999999999</v>
      </c>
      <c r="O63" s="24">
        <v>6.67</v>
      </c>
      <c r="P63" s="24">
        <v>0.04</v>
      </c>
      <c r="Q63" s="25">
        <v>1.3899999999999999E-2</v>
      </c>
      <c r="R63" s="26">
        <v>3</v>
      </c>
      <c r="S63" s="26">
        <v>1</v>
      </c>
      <c r="T63" s="26">
        <v>0</v>
      </c>
      <c r="U63" s="26">
        <v>0</v>
      </c>
      <c r="V63" s="26">
        <v>3</v>
      </c>
      <c r="W63" s="26">
        <v>0</v>
      </c>
      <c r="X63" s="26">
        <v>0</v>
      </c>
      <c r="Y63" s="26">
        <v>3</v>
      </c>
      <c r="Z63" s="25">
        <v>3.3E-3</v>
      </c>
      <c r="AA63" s="24">
        <v>95.12</v>
      </c>
      <c r="AB63" s="26">
        <v>23</v>
      </c>
      <c r="AC63" s="26">
        <v>41</v>
      </c>
      <c r="AD63" s="26">
        <v>2718</v>
      </c>
      <c r="AE63" s="26">
        <v>579</v>
      </c>
      <c r="AF63" s="27">
        <v>0</v>
      </c>
      <c r="AG63" s="24">
        <v>99.35</v>
      </c>
      <c r="AH63" s="27">
        <v>0</v>
      </c>
      <c r="AI63" s="26">
        <v>0</v>
      </c>
      <c r="AJ63" s="24">
        <v>97.76</v>
      </c>
      <c r="AK63" s="25">
        <v>0.10970000000000001</v>
      </c>
      <c r="AL63" s="28">
        <v>3.2300000000000002E-2</v>
      </c>
      <c r="AM63" s="28">
        <v>0.27389999999999998</v>
      </c>
      <c r="AN63" s="26">
        <v>0</v>
      </c>
      <c r="AO63" s="26">
        <v>8</v>
      </c>
      <c r="AP63" s="23">
        <v>33.57</v>
      </c>
      <c r="AQ63">
        <f t="shared" si="0"/>
        <v>100</v>
      </c>
    </row>
    <row r="64" spans="1:43" ht="16.5" x14ac:dyDescent="0.3">
      <c r="A64" s="21" t="s">
        <v>606</v>
      </c>
      <c r="B64" s="21" t="s">
        <v>607</v>
      </c>
      <c r="C64" s="21" t="s">
        <v>42</v>
      </c>
      <c r="D64" s="21" t="s">
        <v>581</v>
      </c>
      <c r="E64" s="21" t="s">
        <v>582</v>
      </c>
      <c r="F64" s="21" t="s">
        <v>581</v>
      </c>
      <c r="G64" s="21" t="s">
        <v>582</v>
      </c>
      <c r="H64" s="21" t="s">
        <v>589</v>
      </c>
      <c r="I64" s="21" t="s">
        <v>590</v>
      </c>
      <c r="J64" s="22">
        <v>1</v>
      </c>
      <c r="K64" s="23">
        <v>0.67</v>
      </c>
      <c r="L64" s="23">
        <v>3.75</v>
      </c>
      <c r="M64" s="26">
        <v>100</v>
      </c>
      <c r="N64" s="25">
        <v>0.98950000000000005</v>
      </c>
      <c r="O64" s="26">
        <v>0</v>
      </c>
      <c r="P64" s="26">
        <v>0</v>
      </c>
      <c r="Q64" s="25">
        <v>2E-3</v>
      </c>
      <c r="R64" s="26">
        <v>0</v>
      </c>
      <c r="S64" s="26">
        <v>0</v>
      </c>
      <c r="T64" s="26">
        <v>0</v>
      </c>
      <c r="U64" s="26">
        <v>0</v>
      </c>
      <c r="V64" s="26">
        <v>0</v>
      </c>
      <c r="W64" s="26">
        <v>0</v>
      </c>
      <c r="X64" s="26">
        <v>0</v>
      </c>
      <c r="Y64" s="26">
        <v>0</v>
      </c>
      <c r="Z64" s="25">
        <v>5.9999999999999995E-4</v>
      </c>
      <c r="AA64" s="26">
        <v>100</v>
      </c>
      <c r="AB64" s="26">
        <v>17</v>
      </c>
      <c r="AC64" s="26">
        <v>21</v>
      </c>
      <c r="AD64" s="26">
        <v>898</v>
      </c>
      <c r="AE64" s="26">
        <v>317</v>
      </c>
      <c r="AF64" s="27">
        <v>0</v>
      </c>
      <c r="AG64" s="26">
        <v>100</v>
      </c>
      <c r="AI64" s="26">
        <v>0</v>
      </c>
      <c r="AJ64" s="24">
        <v>99.38</v>
      </c>
      <c r="AK64" s="25">
        <v>0.1053</v>
      </c>
      <c r="AL64" s="22">
        <v>0</v>
      </c>
      <c r="AM64" s="28">
        <v>0.1053</v>
      </c>
      <c r="AN64" s="26">
        <v>0</v>
      </c>
      <c r="AO64" s="26">
        <v>9</v>
      </c>
      <c r="AP64" s="23">
        <v>42.13</v>
      </c>
      <c r="AQ64">
        <f t="shared" si="0"/>
        <v>100</v>
      </c>
    </row>
    <row r="65" spans="1:43" ht="16.5" x14ac:dyDescent="0.3">
      <c r="A65" s="21" t="s">
        <v>606</v>
      </c>
      <c r="B65" s="21" t="s">
        <v>607</v>
      </c>
      <c r="C65" s="21" t="s">
        <v>42</v>
      </c>
      <c r="D65" s="21" t="s">
        <v>581</v>
      </c>
      <c r="E65" s="21" t="s">
        <v>582</v>
      </c>
      <c r="F65" s="21" t="s">
        <v>581</v>
      </c>
      <c r="G65" s="21" t="s">
        <v>582</v>
      </c>
      <c r="H65" s="21" t="s">
        <v>591</v>
      </c>
      <c r="I65" s="21" t="s">
        <v>592</v>
      </c>
      <c r="J65" s="22">
        <v>1</v>
      </c>
      <c r="K65" s="23">
        <v>0.28999999999999998</v>
      </c>
      <c r="L65" s="23">
        <v>6.44</v>
      </c>
      <c r="M65" s="26">
        <v>100</v>
      </c>
      <c r="N65" s="25">
        <v>0.98670000000000002</v>
      </c>
      <c r="O65" s="26">
        <v>0</v>
      </c>
      <c r="P65" s="26">
        <v>0</v>
      </c>
      <c r="Q65" s="25">
        <v>6.4000000000000003E-3</v>
      </c>
      <c r="R65" s="26">
        <v>0</v>
      </c>
      <c r="S65" s="26">
        <v>0</v>
      </c>
      <c r="T65" s="26">
        <v>0</v>
      </c>
      <c r="U65" s="26">
        <v>0</v>
      </c>
      <c r="V65" s="26">
        <v>0</v>
      </c>
      <c r="W65" s="26">
        <v>0</v>
      </c>
      <c r="X65" s="26">
        <v>0</v>
      </c>
      <c r="Y65" s="26">
        <v>0</v>
      </c>
      <c r="Z65" s="25">
        <v>1.9E-3</v>
      </c>
      <c r="AA65" s="26">
        <v>100</v>
      </c>
      <c r="AB65" s="26">
        <v>12</v>
      </c>
      <c r="AC65" s="26">
        <v>12</v>
      </c>
      <c r="AD65" s="26">
        <v>1054</v>
      </c>
      <c r="AE65" s="26">
        <v>500</v>
      </c>
      <c r="AF65" s="27">
        <v>0</v>
      </c>
      <c r="AG65" s="26">
        <v>100</v>
      </c>
      <c r="AI65" s="26">
        <v>0</v>
      </c>
      <c r="AJ65" s="24">
        <v>99.73</v>
      </c>
      <c r="AK65" s="25">
        <v>3.85E-2</v>
      </c>
      <c r="AL65" s="22">
        <v>0</v>
      </c>
      <c r="AM65" s="28">
        <v>3.0099999999999998E-2</v>
      </c>
      <c r="AN65" s="26">
        <v>0</v>
      </c>
      <c r="AO65" s="26">
        <v>8</v>
      </c>
      <c r="AP65" s="23">
        <v>30.18</v>
      </c>
      <c r="AQ65">
        <f t="shared" si="0"/>
        <v>100</v>
      </c>
    </row>
    <row r="66" spans="1:43" ht="16.5" x14ac:dyDescent="0.3">
      <c r="A66" s="21" t="s">
        <v>607</v>
      </c>
      <c r="B66" s="21" t="s">
        <v>608</v>
      </c>
      <c r="C66" s="21" t="s">
        <v>42</v>
      </c>
      <c r="D66" s="21" t="s">
        <v>581</v>
      </c>
      <c r="E66" s="21" t="s">
        <v>582</v>
      </c>
      <c r="F66" s="21" t="s">
        <v>581</v>
      </c>
      <c r="G66" s="21" t="s">
        <v>582</v>
      </c>
      <c r="H66" s="21" t="s">
        <v>585</v>
      </c>
      <c r="I66" s="21" t="s">
        <v>586</v>
      </c>
      <c r="J66" s="22">
        <v>1</v>
      </c>
      <c r="K66" s="23">
        <v>0.34</v>
      </c>
      <c r="L66" s="23">
        <v>13.41</v>
      </c>
      <c r="M66" s="26">
        <v>100</v>
      </c>
      <c r="N66" s="25">
        <v>0.97519999999999996</v>
      </c>
      <c r="O66" s="26">
        <v>0</v>
      </c>
      <c r="P66" s="26">
        <v>0</v>
      </c>
      <c r="Q66" s="25">
        <v>9.9000000000000008E-3</v>
      </c>
      <c r="R66" s="26">
        <v>0</v>
      </c>
      <c r="S66" s="26">
        <v>0</v>
      </c>
      <c r="T66" s="26">
        <v>0</v>
      </c>
      <c r="U66" s="26">
        <v>0</v>
      </c>
      <c r="V66" s="26">
        <v>0</v>
      </c>
      <c r="W66" s="26">
        <v>0</v>
      </c>
      <c r="X66" s="26">
        <v>0</v>
      </c>
      <c r="Y66" s="26">
        <v>0</v>
      </c>
      <c r="Z66" s="25">
        <v>2.8E-3</v>
      </c>
      <c r="AA66" s="26">
        <v>100</v>
      </c>
      <c r="AB66" s="26">
        <v>26</v>
      </c>
      <c r="AC66" s="26">
        <v>28</v>
      </c>
      <c r="AD66" s="26">
        <v>1469</v>
      </c>
      <c r="AE66" s="26">
        <v>498</v>
      </c>
      <c r="AF66" s="27">
        <v>0</v>
      </c>
      <c r="AG66" s="26">
        <v>100</v>
      </c>
      <c r="AI66" s="26">
        <v>0</v>
      </c>
      <c r="AJ66" s="24">
        <v>98.71</v>
      </c>
      <c r="AK66" s="25">
        <v>6.0600000000000001E-2</v>
      </c>
      <c r="AL66" s="22">
        <v>0</v>
      </c>
      <c r="AM66" s="28">
        <v>8.9700000000000002E-2</v>
      </c>
      <c r="AN66" s="26">
        <v>0</v>
      </c>
      <c r="AO66" s="26">
        <v>9</v>
      </c>
      <c r="AP66" s="23">
        <v>40.15</v>
      </c>
      <c r="AQ66">
        <f t="shared" si="0"/>
        <v>100</v>
      </c>
    </row>
    <row r="67" spans="1:43" ht="16.5" x14ac:dyDescent="0.3">
      <c r="A67" s="21" t="s">
        <v>607</v>
      </c>
      <c r="B67" s="21" t="s">
        <v>608</v>
      </c>
      <c r="C67" s="21" t="s">
        <v>42</v>
      </c>
      <c r="D67" s="21" t="s">
        <v>581</v>
      </c>
      <c r="E67" s="21" t="s">
        <v>582</v>
      </c>
      <c r="F67" s="21" t="s">
        <v>581</v>
      </c>
      <c r="G67" s="21" t="s">
        <v>582</v>
      </c>
      <c r="H67" s="21" t="s">
        <v>587</v>
      </c>
      <c r="I67" s="21" t="s">
        <v>588</v>
      </c>
      <c r="J67" s="22">
        <v>1</v>
      </c>
      <c r="K67" s="23">
        <v>0.06</v>
      </c>
      <c r="L67" s="23">
        <v>15.78</v>
      </c>
      <c r="M67" s="26">
        <v>100</v>
      </c>
      <c r="N67" s="25">
        <v>0.97760000000000002</v>
      </c>
      <c r="O67" s="26">
        <v>0</v>
      </c>
      <c r="P67" s="26">
        <v>0</v>
      </c>
      <c r="Q67" s="25">
        <v>1.32E-2</v>
      </c>
      <c r="R67" s="26">
        <v>0</v>
      </c>
      <c r="S67" s="26">
        <v>0</v>
      </c>
      <c r="T67" s="26">
        <v>0</v>
      </c>
      <c r="U67" s="26">
        <v>0</v>
      </c>
      <c r="V67" s="26">
        <v>0</v>
      </c>
      <c r="W67" s="26">
        <v>0</v>
      </c>
      <c r="X67" s="26">
        <v>0</v>
      </c>
      <c r="Y67" s="26">
        <v>0</v>
      </c>
      <c r="Z67" s="25">
        <v>7.0000000000000001E-3</v>
      </c>
      <c r="AA67" s="26">
        <v>100</v>
      </c>
      <c r="AB67" s="26">
        <v>10</v>
      </c>
      <c r="AC67" s="26">
        <v>11</v>
      </c>
      <c r="AD67" s="26">
        <v>2450</v>
      </c>
      <c r="AE67" s="26">
        <v>499</v>
      </c>
      <c r="AF67" s="27">
        <v>0</v>
      </c>
      <c r="AG67" s="26">
        <v>100</v>
      </c>
      <c r="AI67" s="26">
        <v>0</v>
      </c>
      <c r="AJ67" s="24">
        <v>96.62</v>
      </c>
      <c r="AK67" s="25">
        <v>0.16669999999999999</v>
      </c>
      <c r="AL67" s="28">
        <v>0.16669999999999999</v>
      </c>
      <c r="AM67" s="28">
        <v>2.3599999999999999E-2</v>
      </c>
      <c r="AN67" s="26">
        <v>0</v>
      </c>
      <c r="AO67" s="26">
        <v>8</v>
      </c>
      <c r="AP67" s="23">
        <v>34.93</v>
      </c>
      <c r="AQ67">
        <f t="shared" ref="AQ67:AQ130" si="1">J67*100</f>
        <v>100</v>
      </c>
    </row>
    <row r="68" spans="1:43" ht="16.5" x14ac:dyDescent="0.3">
      <c r="A68" s="21" t="s">
        <v>607</v>
      </c>
      <c r="B68" s="21" t="s">
        <v>608</v>
      </c>
      <c r="C68" s="21" t="s">
        <v>42</v>
      </c>
      <c r="D68" s="21" t="s">
        <v>581</v>
      </c>
      <c r="E68" s="21" t="s">
        <v>582</v>
      </c>
      <c r="F68" s="21" t="s">
        <v>581</v>
      </c>
      <c r="G68" s="21" t="s">
        <v>582</v>
      </c>
      <c r="H68" s="21" t="s">
        <v>589</v>
      </c>
      <c r="I68" s="21" t="s">
        <v>590</v>
      </c>
      <c r="J68" s="22">
        <v>1</v>
      </c>
      <c r="K68" s="23">
        <v>0.17</v>
      </c>
      <c r="L68" s="23">
        <v>2.44</v>
      </c>
      <c r="M68" s="26">
        <v>100</v>
      </c>
      <c r="N68" s="25">
        <v>0.99219999999999997</v>
      </c>
      <c r="O68" s="26">
        <v>0</v>
      </c>
      <c r="P68" s="26">
        <v>0</v>
      </c>
      <c r="Q68" s="25">
        <v>3.5000000000000001E-3</v>
      </c>
      <c r="R68" s="26">
        <v>0</v>
      </c>
      <c r="S68" s="26">
        <v>0</v>
      </c>
      <c r="T68" s="26">
        <v>0</v>
      </c>
      <c r="U68" s="26">
        <v>0</v>
      </c>
      <c r="V68" s="26">
        <v>0</v>
      </c>
      <c r="W68" s="26">
        <v>0</v>
      </c>
      <c r="X68" s="26">
        <v>0</v>
      </c>
      <c r="Y68" s="26">
        <v>0</v>
      </c>
      <c r="Z68" s="25">
        <v>2.5999999999999999E-3</v>
      </c>
      <c r="AA68" s="26">
        <v>100</v>
      </c>
      <c r="AB68" s="26">
        <v>15</v>
      </c>
      <c r="AC68" s="26">
        <v>17</v>
      </c>
      <c r="AD68" s="26">
        <v>782</v>
      </c>
      <c r="AE68" s="26">
        <v>255</v>
      </c>
      <c r="AF68" s="27">
        <v>0</v>
      </c>
      <c r="AG68" s="26">
        <v>100</v>
      </c>
      <c r="AI68" s="26">
        <v>0</v>
      </c>
      <c r="AJ68" s="26">
        <v>100</v>
      </c>
      <c r="AK68" s="27">
        <v>0</v>
      </c>
      <c r="AL68" s="22">
        <v>0</v>
      </c>
      <c r="AM68" s="28">
        <v>8.09E-2</v>
      </c>
      <c r="AN68" s="26">
        <v>0</v>
      </c>
      <c r="AO68" s="26">
        <v>9</v>
      </c>
      <c r="AP68" s="23">
        <v>35.25</v>
      </c>
      <c r="AQ68">
        <f t="shared" si="1"/>
        <v>100</v>
      </c>
    </row>
    <row r="69" spans="1:43" ht="16.5" x14ac:dyDescent="0.3">
      <c r="A69" s="21" t="s">
        <v>607</v>
      </c>
      <c r="B69" s="21" t="s">
        <v>608</v>
      </c>
      <c r="C69" s="21" t="s">
        <v>42</v>
      </c>
      <c r="D69" s="21" t="s">
        <v>581</v>
      </c>
      <c r="E69" s="21" t="s">
        <v>582</v>
      </c>
      <c r="F69" s="21" t="s">
        <v>581</v>
      </c>
      <c r="G69" s="21" t="s">
        <v>582</v>
      </c>
      <c r="H69" s="21" t="s">
        <v>591</v>
      </c>
      <c r="I69" s="21" t="s">
        <v>592</v>
      </c>
      <c r="J69" s="22">
        <v>1</v>
      </c>
      <c r="K69" s="23">
        <v>0.05</v>
      </c>
      <c r="L69" s="23">
        <v>3.55</v>
      </c>
      <c r="M69" s="26">
        <v>100</v>
      </c>
      <c r="N69" s="25">
        <v>0.99209999999999998</v>
      </c>
      <c r="O69" s="24">
        <v>33.33</v>
      </c>
      <c r="P69" s="26">
        <v>0</v>
      </c>
      <c r="Q69" s="25">
        <v>3.8999999999999998E-3</v>
      </c>
      <c r="R69" s="26">
        <v>1</v>
      </c>
      <c r="S69" s="26">
        <v>0</v>
      </c>
      <c r="T69" s="26">
        <v>0</v>
      </c>
      <c r="U69" s="26">
        <v>0</v>
      </c>
      <c r="V69" s="26">
        <v>1</v>
      </c>
      <c r="W69" s="26">
        <v>0</v>
      </c>
      <c r="X69" s="26">
        <v>0</v>
      </c>
      <c r="Y69" s="26">
        <v>1</v>
      </c>
      <c r="Z69" s="25">
        <v>3.0999999999999999E-3</v>
      </c>
      <c r="AA69" s="26">
        <v>100</v>
      </c>
      <c r="AB69" s="26">
        <v>2</v>
      </c>
      <c r="AC69" s="26">
        <v>2</v>
      </c>
      <c r="AD69" s="26">
        <v>873</v>
      </c>
      <c r="AE69" s="26">
        <v>499</v>
      </c>
      <c r="AF69" s="27">
        <v>0</v>
      </c>
      <c r="AG69" s="26">
        <v>100</v>
      </c>
      <c r="AH69" s="27">
        <v>0</v>
      </c>
      <c r="AI69" s="26">
        <v>0</v>
      </c>
      <c r="AJ69" s="24">
        <v>98.49</v>
      </c>
      <c r="AK69" s="27">
        <v>0.2</v>
      </c>
      <c r="AL69" s="22">
        <v>0</v>
      </c>
      <c r="AM69" s="22">
        <v>0</v>
      </c>
      <c r="AN69" s="26">
        <v>0</v>
      </c>
      <c r="AO69" s="26">
        <v>8</v>
      </c>
      <c r="AP69" s="23">
        <v>32.020000000000003</v>
      </c>
      <c r="AQ69">
        <f t="shared" si="1"/>
        <v>100</v>
      </c>
    </row>
    <row r="70" spans="1:43" ht="16.5" x14ac:dyDescent="0.3">
      <c r="A70" s="21" t="s">
        <v>608</v>
      </c>
      <c r="B70" s="21" t="s">
        <v>609</v>
      </c>
      <c r="C70" s="21" t="s">
        <v>42</v>
      </c>
      <c r="D70" s="21" t="s">
        <v>581</v>
      </c>
      <c r="E70" s="21" t="s">
        <v>582</v>
      </c>
      <c r="F70" s="21" t="s">
        <v>581</v>
      </c>
      <c r="G70" s="21" t="s">
        <v>582</v>
      </c>
      <c r="H70" s="21" t="s">
        <v>585</v>
      </c>
      <c r="I70" s="21" t="s">
        <v>586</v>
      </c>
      <c r="J70" s="22">
        <v>1</v>
      </c>
      <c r="K70" s="23">
        <v>0.21</v>
      </c>
      <c r="L70" s="23">
        <v>13.89</v>
      </c>
      <c r="M70" s="26">
        <v>100</v>
      </c>
      <c r="N70" s="25">
        <v>0.97860000000000003</v>
      </c>
      <c r="O70" s="26">
        <v>0</v>
      </c>
      <c r="P70" s="26">
        <v>0</v>
      </c>
      <c r="Q70" s="25">
        <v>1.01E-2</v>
      </c>
      <c r="R70" s="26">
        <v>0</v>
      </c>
      <c r="S70" s="26">
        <v>0</v>
      </c>
      <c r="T70" s="26">
        <v>0</v>
      </c>
      <c r="U70" s="26">
        <v>0</v>
      </c>
      <c r="V70" s="26">
        <v>0</v>
      </c>
      <c r="W70" s="26">
        <v>0</v>
      </c>
      <c r="X70" s="26">
        <v>0</v>
      </c>
      <c r="Y70" s="26">
        <v>0</v>
      </c>
      <c r="Z70" s="25">
        <v>2.7000000000000001E-3</v>
      </c>
      <c r="AA70" s="26">
        <v>100</v>
      </c>
      <c r="AB70" s="26">
        <v>18</v>
      </c>
      <c r="AC70" s="26">
        <v>19</v>
      </c>
      <c r="AD70" s="26">
        <v>1384</v>
      </c>
      <c r="AE70" s="26">
        <v>498</v>
      </c>
      <c r="AF70" s="27">
        <v>0</v>
      </c>
      <c r="AG70" s="26">
        <v>100</v>
      </c>
      <c r="AI70" s="26">
        <v>0</v>
      </c>
      <c r="AJ70" s="24">
        <v>99.52</v>
      </c>
      <c r="AK70" s="27">
        <v>0</v>
      </c>
      <c r="AL70" s="22">
        <v>0</v>
      </c>
      <c r="AM70" s="28">
        <v>7.9100000000000004E-2</v>
      </c>
      <c r="AN70" s="26">
        <v>0</v>
      </c>
      <c r="AO70" s="26">
        <v>9</v>
      </c>
      <c r="AP70" s="23">
        <v>45.39</v>
      </c>
      <c r="AQ70">
        <f t="shared" si="1"/>
        <v>100</v>
      </c>
    </row>
    <row r="71" spans="1:43" ht="16.5" x14ac:dyDescent="0.3">
      <c r="A71" s="21" t="s">
        <v>608</v>
      </c>
      <c r="B71" s="21" t="s">
        <v>609</v>
      </c>
      <c r="C71" s="21" t="s">
        <v>42</v>
      </c>
      <c r="D71" s="21" t="s">
        <v>581</v>
      </c>
      <c r="E71" s="21" t="s">
        <v>582</v>
      </c>
      <c r="F71" s="21" t="s">
        <v>581</v>
      </c>
      <c r="G71" s="21" t="s">
        <v>582</v>
      </c>
      <c r="H71" s="21" t="s">
        <v>587</v>
      </c>
      <c r="I71" s="21" t="s">
        <v>588</v>
      </c>
      <c r="J71" s="22">
        <v>1</v>
      </c>
      <c r="K71" s="23">
        <v>0.15</v>
      </c>
      <c r="L71" s="23">
        <v>25.09</v>
      </c>
      <c r="M71" s="26">
        <v>100</v>
      </c>
      <c r="N71" s="25">
        <v>0.98260000000000003</v>
      </c>
      <c r="O71" s="26">
        <v>0</v>
      </c>
      <c r="P71" s="26">
        <v>0</v>
      </c>
      <c r="Q71" s="25">
        <v>1.3899999999999999E-2</v>
      </c>
      <c r="R71" s="26">
        <v>0</v>
      </c>
      <c r="S71" s="26">
        <v>0</v>
      </c>
      <c r="T71" s="26">
        <v>0</v>
      </c>
      <c r="U71" s="26">
        <v>0</v>
      </c>
      <c r="V71" s="26">
        <v>0</v>
      </c>
      <c r="W71" s="26">
        <v>0</v>
      </c>
      <c r="X71" s="26">
        <v>0</v>
      </c>
      <c r="Y71" s="26">
        <v>0</v>
      </c>
      <c r="Z71" s="25">
        <v>8.0999999999999996E-3</v>
      </c>
      <c r="AA71" s="26">
        <v>100</v>
      </c>
      <c r="AB71" s="26">
        <v>10</v>
      </c>
      <c r="AC71" s="26">
        <v>12</v>
      </c>
      <c r="AD71" s="26">
        <v>2276</v>
      </c>
      <c r="AE71" s="26">
        <v>499</v>
      </c>
      <c r="AF71" s="27">
        <v>0</v>
      </c>
      <c r="AG71" s="26">
        <v>100</v>
      </c>
      <c r="AI71" s="26">
        <v>0</v>
      </c>
      <c r="AJ71" s="24">
        <v>99.5</v>
      </c>
      <c r="AK71" s="27">
        <v>0</v>
      </c>
      <c r="AL71" s="22">
        <v>0</v>
      </c>
      <c r="AM71" s="28">
        <v>0.18479999999999999</v>
      </c>
      <c r="AN71" s="26">
        <v>0</v>
      </c>
      <c r="AO71" s="26">
        <v>8</v>
      </c>
      <c r="AP71" s="23">
        <v>32.99</v>
      </c>
      <c r="AQ71">
        <f t="shared" si="1"/>
        <v>100</v>
      </c>
    </row>
    <row r="72" spans="1:43" ht="16.5" x14ac:dyDescent="0.3">
      <c r="A72" s="21" t="s">
        <v>608</v>
      </c>
      <c r="B72" s="21" t="s">
        <v>609</v>
      </c>
      <c r="C72" s="21" t="s">
        <v>42</v>
      </c>
      <c r="D72" s="21" t="s">
        <v>581</v>
      </c>
      <c r="E72" s="21" t="s">
        <v>582</v>
      </c>
      <c r="F72" s="21" t="s">
        <v>581</v>
      </c>
      <c r="G72" s="21" t="s">
        <v>582</v>
      </c>
      <c r="H72" s="21" t="s">
        <v>589</v>
      </c>
      <c r="I72" s="21" t="s">
        <v>590</v>
      </c>
      <c r="J72" s="22">
        <v>1</v>
      </c>
      <c r="K72" s="23">
        <v>0.11</v>
      </c>
      <c r="L72" s="23">
        <v>2.5099999999999998</v>
      </c>
      <c r="M72" s="26">
        <v>100</v>
      </c>
      <c r="N72" s="25">
        <v>0.9909</v>
      </c>
      <c r="O72" s="26">
        <v>0</v>
      </c>
      <c r="P72" s="26">
        <v>0</v>
      </c>
      <c r="Q72" s="25">
        <v>1.6000000000000001E-3</v>
      </c>
      <c r="R72" s="26">
        <v>0</v>
      </c>
      <c r="S72" s="26">
        <v>0</v>
      </c>
      <c r="T72" s="26">
        <v>0</v>
      </c>
      <c r="U72" s="26">
        <v>0</v>
      </c>
      <c r="V72" s="26">
        <v>0</v>
      </c>
      <c r="W72" s="26">
        <v>0</v>
      </c>
      <c r="X72" s="26">
        <v>0</v>
      </c>
      <c r="Y72" s="26">
        <v>0</v>
      </c>
      <c r="Z72" s="25">
        <v>3.7000000000000002E-3</v>
      </c>
      <c r="AA72" s="26">
        <v>100</v>
      </c>
      <c r="AB72" s="26">
        <v>15</v>
      </c>
      <c r="AC72" s="26">
        <v>17</v>
      </c>
      <c r="AD72" s="26">
        <v>744</v>
      </c>
      <c r="AE72" s="26">
        <v>255</v>
      </c>
      <c r="AF72" s="27">
        <v>0</v>
      </c>
      <c r="AG72" s="26">
        <v>100</v>
      </c>
      <c r="AI72" s="26">
        <v>0</v>
      </c>
      <c r="AJ72" s="26">
        <v>100</v>
      </c>
      <c r="AK72" s="27">
        <v>0</v>
      </c>
      <c r="AL72" s="22">
        <v>0</v>
      </c>
      <c r="AM72" s="28">
        <v>0.10589999999999999</v>
      </c>
      <c r="AN72" s="26">
        <v>0</v>
      </c>
      <c r="AO72" s="26">
        <v>9</v>
      </c>
      <c r="AP72" s="23">
        <v>34.799999999999997</v>
      </c>
      <c r="AQ72">
        <f t="shared" si="1"/>
        <v>100</v>
      </c>
    </row>
    <row r="73" spans="1:43" ht="16.5" x14ac:dyDescent="0.3">
      <c r="A73" s="21" t="s">
        <v>608</v>
      </c>
      <c r="B73" s="21" t="s">
        <v>609</v>
      </c>
      <c r="C73" s="21" t="s">
        <v>42</v>
      </c>
      <c r="D73" s="21" t="s">
        <v>581</v>
      </c>
      <c r="E73" s="21" t="s">
        <v>582</v>
      </c>
      <c r="F73" s="21" t="s">
        <v>581</v>
      </c>
      <c r="G73" s="21" t="s">
        <v>582</v>
      </c>
      <c r="H73" s="21" t="s">
        <v>591</v>
      </c>
      <c r="I73" s="21" t="s">
        <v>592</v>
      </c>
      <c r="J73" s="22">
        <v>1</v>
      </c>
      <c r="K73" s="23">
        <v>0.05</v>
      </c>
      <c r="L73" s="23">
        <v>2.66</v>
      </c>
      <c r="M73" s="26">
        <v>100</v>
      </c>
      <c r="N73" s="25">
        <v>0.99619999999999997</v>
      </c>
      <c r="O73" s="26">
        <v>0</v>
      </c>
      <c r="P73" s="26">
        <v>0</v>
      </c>
      <c r="Q73" s="25">
        <v>3.0999999999999999E-3</v>
      </c>
      <c r="R73" s="26">
        <v>0</v>
      </c>
      <c r="S73" s="26">
        <v>0</v>
      </c>
      <c r="T73" s="26">
        <v>0</v>
      </c>
      <c r="U73" s="26">
        <v>0</v>
      </c>
      <c r="V73" s="26">
        <v>0</v>
      </c>
      <c r="W73" s="26">
        <v>0</v>
      </c>
      <c r="X73" s="26">
        <v>0</v>
      </c>
      <c r="Y73" s="26">
        <v>0</v>
      </c>
      <c r="Z73" s="25">
        <v>3.3E-3</v>
      </c>
      <c r="AA73" s="26">
        <v>100</v>
      </c>
      <c r="AB73" s="26">
        <v>7</v>
      </c>
      <c r="AC73" s="26">
        <v>7</v>
      </c>
      <c r="AD73" s="26">
        <v>799</v>
      </c>
      <c r="AE73" s="26">
        <v>499</v>
      </c>
      <c r="AF73" s="27">
        <v>0</v>
      </c>
      <c r="AG73" s="26">
        <v>100</v>
      </c>
      <c r="AI73" s="26">
        <v>0</v>
      </c>
      <c r="AJ73" s="26">
        <v>100</v>
      </c>
      <c r="AK73" s="27">
        <v>0</v>
      </c>
      <c r="AL73" s="22">
        <v>0</v>
      </c>
      <c r="AM73" s="22">
        <v>0</v>
      </c>
      <c r="AN73" s="26">
        <v>0</v>
      </c>
      <c r="AO73" s="26">
        <v>8</v>
      </c>
      <c r="AP73" s="23">
        <v>31.92</v>
      </c>
      <c r="AQ73">
        <f t="shared" si="1"/>
        <v>100</v>
      </c>
    </row>
    <row r="74" spans="1:43" ht="16.5" x14ac:dyDescent="0.3">
      <c r="A74" s="21" t="s">
        <v>609</v>
      </c>
      <c r="B74" s="21" t="s">
        <v>610</v>
      </c>
      <c r="C74" s="21" t="s">
        <v>42</v>
      </c>
      <c r="D74" s="21" t="s">
        <v>581</v>
      </c>
      <c r="E74" s="21" t="s">
        <v>582</v>
      </c>
      <c r="F74" s="21" t="s">
        <v>581</v>
      </c>
      <c r="G74" s="21" t="s">
        <v>582</v>
      </c>
      <c r="H74" s="21" t="s">
        <v>585</v>
      </c>
      <c r="I74" s="21" t="s">
        <v>586</v>
      </c>
      <c r="J74" s="22">
        <v>1</v>
      </c>
      <c r="K74" s="23">
        <v>0.69</v>
      </c>
      <c r="L74" s="23">
        <v>19.420000000000002</v>
      </c>
      <c r="M74" s="26">
        <v>100</v>
      </c>
      <c r="N74" s="25">
        <v>0.97889999999999999</v>
      </c>
      <c r="O74" s="26">
        <v>0</v>
      </c>
      <c r="P74" s="26">
        <v>0</v>
      </c>
      <c r="Q74" s="25">
        <v>5.5999999999999999E-3</v>
      </c>
      <c r="R74" s="26">
        <v>0</v>
      </c>
      <c r="S74" s="26">
        <v>0</v>
      </c>
      <c r="T74" s="26">
        <v>0</v>
      </c>
      <c r="U74" s="26">
        <v>0</v>
      </c>
      <c r="V74" s="26">
        <v>0</v>
      </c>
      <c r="W74" s="26">
        <v>0</v>
      </c>
      <c r="X74" s="26">
        <v>0</v>
      </c>
      <c r="Y74" s="26">
        <v>0</v>
      </c>
      <c r="Z74" s="25">
        <v>2.3999999999999998E-3</v>
      </c>
      <c r="AA74" s="26">
        <v>100</v>
      </c>
      <c r="AB74" s="26">
        <v>38</v>
      </c>
      <c r="AC74" s="26">
        <v>58</v>
      </c>
      <c r="AD74" s="26">
        <v>1672</v>
      </c>
      <c r="AE74" s="26">
        <v>498</v>
      </c>
      <c r="AF74" s="27">
        <v>0</v>
      </c>
      <c r="AG74" s="26">
        <v>100</v>
      </c>
      <c r="AI74" s="26">
        <v>0</v>
      </c>
      <c r="AJ74" s="24">
        <v>99.66</v>
      </c>
      <c r="AK74" s="25">
        <v>1.6899999999999998E-2</v>
      </c>
      <c r="AL74" s="22">
        <v>0</v>
      </c>
      <c r="AM74" s="28">
        <v>0.2944</v>
      </c>
      <c r="AN74" s="26">
        <v>0</v>
      </c>
      <c r="AO74" s="26">
        <v>9</v>
      </c>
      <c r="AP74" s="23">
        <v>51.07</v>
      </c>
      <c r="AQ74">
        <f t="shared" si="1"/>
        <v>100</v>
      </c>
    </row>
    <row r="75" spans="1:43" ht="16.5" x14ac:dyDescent="0.3">
      <c r="A75" s="21" t="s">
        <v>609</v>
      </c>
      <c r="B75" s="21" t="s">
        <v>610</v>
      </c>
      <c r="C75" s="21" t="s">
        <v>42</v>
      </c>
      <c r="D75" s="21" t="s">
        <v>581</v>
      </c>
      <c r="E75" s="21" t="s">
        <v>582</v>
      </c>
      <c r="F75" s="21" t="s">
        <v>581</v>
      </c>
      <c r="G75" s="21" t="s">
        <v>582</v>
      </c>
      <c r="H75" s="21" t="s">
        <v>587</v>
      </c>
      <c r="I75" s="21" t="s">
        <v>588</v>
      </c>
      <c r="J75" s="22">
        <v>1</v>
      </c>
      <c r="K75" s="23">
        <v>0.23</v>
      </c>
      <c r="L75" s="23">
        <v>15.98</v>
      </c>
      <c r="M75" s="26">
        <v>100</v>
      </c>
      <c r="N75" s="25">
        <v>0.98219999999999996</v>
      </c>
      <c r="O75" s="26">
        <v>0</v>
      </c>
      <c r="P75" s="26">
        <v>0</v>
      </c>
      <c r="Q75" s="25">
        <v>1.1599999999999999E-2</v>
      </c>
      <c r="R75" s="26">
        <v>0</v>
      </c>
      <c r="S75" s="26">
        <v>0</v>
      </c>
      <c r="T75" s="26">
        <v>0</v>
      </c>
      <c r="U75" s="26">
        <v>0</v>
      </c>
      <c r="V75" s="26">
        <v>0</v>
      </c>
      <c r="W75" s="26">
        <v>0</v>
      </c>
      <c r="X75" s="26">
        <v>0</v>
      </c>
      <c r="Y75" s="26">
        <v>0</v>
      </c>
      <c r="Z75" s="25">
        <v>3.8999999999999998E-3</v>
      </c>
      <c r="AA75" s="26">
        <v>100</v>
      </c>
      <c r="AB75" s="26">
        <v>30</v>
      </c>
      <c r="AC75" s="26">
        <v>38</v>
      </c>
      <c r="AD75" s="26">
        <v>2668</v>
      </c>
      <c r="AE75" s="26">
        <v>499</v>
      </c>
      <c r="AF75" s="27">
        <v>0</v>
      </c>
      <c r="AG75" s="26">
        <v>100</v>
      </c>
      <c r="AI75" s="26">
        <v>0</v>
      </c>
      <c r="AJ75" s="24">
        <v>98.55</v>
      </c>
      <c r="AK75" s="27">
        <v>0</v>
      </c>
      <c r="AL75" s="22">
        <v>0</v>
      </c>
      <c r="AM75" s="28">
        <v>0.24310000000000001</v>
      </c>
      <c r="AN75" s="26">
        <v>0</v>
      </c>
      <c r="AO75" s="26">
        <v>8</v>
      </c>
      <c r="AP75" s="23">
        <v>36.4</v>
      </c>
      <c r="AQ75">
        <f t="shared" si="1"/>
        <v>100</v>
      </c>
    </row>
    <row r="76" spans="1:43" ht="16.5" x14ac:dyDescent="0.3">
      <c r="A76" s="21" t="s">
        <v>609</v>
      </c>
      <c r="B76" s="21" t="s">
        <v>610</v>
      </c>
      <c r="C76" s="21" t="s">
        <v>42</v>
      </c>
      <c r="D76" s="21" t="s">
        <v>581</v>
      </c>
      <c r="E76" s="21" t="s">
        <v>582</v>
      </c>
      <c r="F76" s="21" t="s">
        <v>581</v>
      </c>
      <c r="G76" s="21" t="s">
        <v>582</v>
      </c>
      <c r="H76" s="21" t="s">
        <v>589</v>
      </c>
      <c r="I76" s="21" t="s">
        <v>590</v>
      </c>
      <c r="J76" s="22">
        <v>1</v>
      </c>
      <c r="K76" s="23">
        <v>0.5</v>
      </c>
      <c r="L76" s="23">
        <v>2.56</v>
      </c>
      <c r="M76" s="24">
        <v>99.89</v>
      </c>
      <c r="N76" s="25">
        <v>0.99350000000000005</v>
      </c>
      <c r="O76" s="26">
        <v>0</v>
      </c>
      <c r="P76" s="24">
        <v>0.11</v>
      </c>
      <c r="Q76" s="25">
        <v>4.1000000000000003E-3</v>
      </c>
      <c r="R76" s="26">
        <v>0</v>
      </c>
      <c r="S76" s="26">
        <v>1</v>
      </c>
      <c r="T76" s="26">
        <v>0</v>
      </c>
      <c r="U76" s="26">
        <v>0</v>
      </c>
      <c r="V76" s="26">
        <v>0</v>
      </c>
      <c r="W76" s="26">
        <v>0</v>
      </c>
      <c r="X76" s="26">
        <v>0</v>
      </c>
      <c r="Y76" s="26">
        <v>0</v>
      </c>
      <c r="Z76" s="25">
        <v>3.0000000000000001E-3</v>
      </c>
      <c r="AA76" s="26">
        <v>100</v>
      </c>
      <c r="AB76" s="26">
        <v>22</v>
      </c>
      <c r="AC76" s="26">
        <v>25</v>
      </c>
      <c r="AD76" s="26">
        <v>887</v>
      </c>
      <c r="AE76" s="26">
        <v>253</v>
      </c>
      <c r="AF76" s="27">
        <v>0</v>
      </c>
      <c r="AG76" s="24">
        <v>98.65</v>
      </c>
      <c r="AI76" s="26">
        <v>0</v>
      </c>
      <c r="AJ76" s="24">
        <v>99.19</v>
      </c>
      <c r="AK76" s="25">
        <v>4.0500000000000001E-2</v>
      </c>
      <c r="AL76" s="28">
        <v>1.35E-2</v>
      </c>
      <c r="AM76" s="28">
        <v>0.12479999999999999</v>
      </c>
      <c r="AN76" s="26">
        <v>0</v>
      </c>
      <c r="AO76" s="26">
        <v>9</v>
      </c>
      <c r="AP76" s="23">
        <v>37.340000000000003</v>
      </c>
      <c r="AQ76">
        <f t="shared" si="1"/>
        <v>100</v>
      </c>
    </row>
    <row r="77" spans="1:43" ht="16.5" x14ac:dyDescent="0.3">
      <c r="A77" s="21" t="s">
        <v>609</v>
      </c>
      <c r="B77" s="21" t="s">
        <v>610</v>
      </c>
      <c r="C77" s="21" t="s">
        <v>42</v>
      </c>
      <c r="D77" s="21" t="s">
        <v>581</v>
      </c>
      <c r="E77" s="21" t="s">
        <v>582</v>
      </c>
      <c r="F77" s="21" t="s">
        <v>581</v>
      </c>
      <c r="G77" s="21" t="s">
        <v>582</v>
      </c>
      <c r="H77" s="21" t="s">
        <v>591</v>
      </c>
      <c r="I77" s="21" t="s">
        <v>592</v>
      </c>
      <c r="J77" s="22">
        <v>1</v>
      </c>
      <c r="K77" s="23">
        <v>0.12</v>
      </c>
      <c r="L77" s="23">
        <v>3.85</v>
      </c>
      <c r="M77" s="26">
        <v>100</v>
      </c>
      <c r="N77" s="25">
        <v>0.99609999999999999</v>
      </c>
      <c r="O77" s="26">
        <v>0</v>
      </c>
      <c r="P77" s="26">
        <v>0</v>
      </c>
      <c r="Q77" s="25">
        <v>1.6999999999999999E-3</v>
      </c>
      <c r="R77" s="26">
        <v>0</v>
      </c>
      <c r="S77" s="26">
        <v>0</v>
      </c>
      <c r="T77" s="26">
        <v>0</v>
      </c>
      <c r="U77" s="26">
        <v>0</v>
      </c>
      <c r="V77" s="26">
        <v>0</v>
      </c>
      <c r="W77" s="26">
        <v>0</v>
      </c>
      <c r="X77" s="26">
        <v>0</v>
      </c>
      <c r="Y77" s="26">
        <v>0</v>
      </c>
      <c r="Z77" s="25">
        <v>4.7000000000000002E-3</v>
      </c>
      <c r="AA77" s="26">
        <v>100</v>
      </c>
      <c r="AB77" s="26">
        <v>13</v>
      </c>
      <c r="AC77" s="26">
        <v>13</v>
      </c>
      <c r="AD77" s="26">
        <v>907</v>
      </c>
      <c r="AE77" s="26">
        <v>500</v>
      </c>
      <c r="AF77" s="27">
        <v>0</v>
      </c>
      <c r="AG77" s="26">
        <v>100</v>
      </c>
      <c r="AI77" s="26">
        <v>0</v>
      </c>
      <c r="AJ77" s="24">
        <v>92.3</v>
      </c>
      <c r="AK77" s="27">
        <v>0.4</v>
      </c>
      <c r="AL77" s="22">
        <v>0</v>
      </c>
      <c r="AM77" s="22">
        <v>0</v>
      </c>
      <c r="AN77" s="26">
        <v>0</v>
      </c>
      <c r="AO77" s="26">
        <v>8</v>
      </c>
      <c r="AP77" s="23">
        <v>31.31</v>
      </c>
      <c r="AQ77">
        <f t="shared" si="1"/>
        <v>100</v>
      </c>
    </row>
    <row r="78" spans="1:43" ht="16.5" x14ac:dyDescent="0.3">
      <c r="A78" s="21" t="s">
        <v>610</v>
      </c>
      <c r="B78" s="21" t="s">
        <v>611</v>
      </c>
      <c r="C78" s="21" t="s">
        <v>42</v>
      </c>
      <c r="D78" s="21" t="s">
        <v>581</v>
      </c>
      <c r="E78" s="21" t="s">
        <v>582</v>
      </c>
      <c r="F78" s="21" t="s">
        <v>581</v>
      </c>
      <c r="G78" s="21" t="s">
        <v>582</v>
      </c>
      <c r="H78" s="21" t="s">
        <v>585</v>
      </c>
      <c r="I78" s="21" t="s">
        <v>586</v>
      </c>
      <c r="J78" s="22">
        <v>1</v>
      </c>
      <c r="K78" s="23">
        <v>1.02</v>
      </c>
      <c r="L78" s="23">
        <v>13.25</v>
      </c>
      <c r="M78" s="26">
        <v>100</v>
      </c>
      <c r="N78" s="25">
        <v>0.96519999999999995</v>
      </c>
      <c r="O78" s="26">
        <v>0</v>
      </c>
      <c r="P78" s="26">
        <v>0</v>
      </c>
      <c r="Q78" s="25">
        <v>5.0000000000000001E-3</v>
      </c>
      <c r="R78" s="26">
        <v>0</v>
      </c>
      <c r="S78" s="26">
        <v>0</v>
      </c>
      <c r="T78" s="26">
        <v>0</v>
      </c>
      <c r="U78" s="26">
        <v>0</v>
      </c>
      <c r="V78" s="26">
        <v>0</v>
      </c>
      <c r="W78" s="26">
        <v>0</v>
      </c>
      <c r="X78" s="26">
        <v>0</v>
      </c>
      <c r="Y78" s="26">
        <v>0</v>
      </c>
      <c r="Z78" s="25">
        <v>2.5999999999999999E-3</v>
      </c>
      <c r="AA78" s="26">
        <v>100</v>
      </c>
      <c r="AB78" s="26">
        <v>53</v>
      </c>
      <c r="AC78" s="26">
        <v>87</v>
      </c>
      <c r="AD78" s="26">
        <v>1714</v>
      </c>
      <c r="AE78" s="26">
        <v>500</v>
      </c>
      <c r="AF78" s="27">
        <v>0</v>
      </c>
      <c r="AG78" s="24">
        <v>99.28</v>
      </c>
      <c r="AI78" s="26">
        <v>0</v>
      </c>
      <c r="AJ78" s="24">
        <v>99.36</v>
      </c>
      <c r="AK78" s="25">
        <v>1.44E-2</v>
      </c>
      <c r="AL78" s="22">
        <v>0</v>
      </c>
      <c r="AM78" s="28">
        <v>0.50329999999999997</v>
      </c>
      <c r="AN78" s="26">
        <v>0</v>
      </c>
      <c r="AO78" s="26">
        <v>9</v>
      </c>
      <c r="AP78" s="23">
        <v>46.15</v>
      </c>
      <c r="AQ78">
        <f t="shared" si="1"/>
        <v>100</v>
      </c>
    </row>
    <row r="79" spans="1:43" ht="16.5" x14ac:dyDescent="0.3">
      <c r="A79" s="21" t="s">
        <v>610</v>
      </c>
      <c r="B79" s="21" t="s">
        <v>611</v>
      </c>
      <c r="C79" s="21" t="s">
        <v>42</v>
      </c>
      <c r="D79" s="21" t="s">
        <v>581</v>
      </c>
      <c r="E79" s="21" t="s">
        <v>582</v>
      </c>
      <c r="F79" s="21" t="s">
        <v>581</v>
      </c>
      <c r="G79" s="21" t="s">
        <v>582</v>
      </c>
      <c r="H79" s="21" t="s">
        <v>587</v>
      </c>
      <c r="I79" s="21" t="s">
        <v>588</v>
      </c>
      <c r="J79" s="22">
        <v>1</v>
      </c>
      <c r="K79" s="23">
        <v>1.24</v>
      </c>
      <c r="L79" s="23">
        <v>19.03</v>
      </c>
      <c r="M79" s="26">
        <v>100</v>
      </c>
      <c r="N79" s="25">
        <v>0.9778</v>
      </c>
      <c r="O79" s="26">
        <v>0</v>
      </c>
      <c r="P79" s="26">
        <v>0</v>
      </c>
      <c r="Q79" s="25">
        <v>1.17E-2</v>
      </c>
      <c r="R79" s="26">
        <v>0</v>
      </c>
      <c r="S79" s="26">
        <v>0</v>
      </c>
      <c r="T79" s="26">
        <v>0</v>
      </c>
      <c r="U79" s="26">
        <v>0</v>
      </c>
      <c r="V79" s="26">
        <v>0</v>
      </c>
      <c r="W79" s="26">
        <v>0</v>
      </c>
      <c r="X79" s="26">
        <v>0</v>
      </c>
      <c r="Y79" s="26">
        <v>0</v>
      </c>
      <c r="Z79" s="25">
        <v>1.6999999999999999E-3</v>
      </c>
      <c r="AA79" s="26">
        <v>100</v>
      </c>
      <c r="AB79" s="26">
        <v>34</v>
      </c>
      <c r="AC79" s="26">
        <v>72</v>
      </c>
      <c r="AD79" s="26">
        <v>2405</v>
      </c>
      <c r="AE79" s="26">
        <v>498</v>
      </c>
      <c r="AF79" s="27">
        <v>0</v>
      </c>
      <c r="AG79" s="26">
        <v>100</v>
      </c>
      <c r="AI79" s="26">
        <v>0</v>
      </c>
      <c r="AJ79" s="24">
        <v>99.31</v>
      </c>
      <c r="AK79" s="25">
        <v>4.5499999999999999E-2</v>
      </c>
      <c r="AL79" s="22">
        <v>0</v>
      </c>
      <c r="AM79" s="28">
        <v>0.52780000000000005</v>
      </c>
      <c r="AN79" s="26">
        <v>0</v>
      </c>
      <c r="AO79" s="26">
        <v>8</v>
      </c>
      <c r="AP79" s="23">
        <v>32.64</v>
      </c>
      <c r="AQ79">
        <f t="shared" si="1"/>
        <v>100</v>
      </c>
    </row>
    <row r="80" spans="1:43" ht="16.5" x14ac:dyDescent="0.3">
      <c r="A80" s="21" t="s">
        <v>610</v>
      </c>
      <c r="B80" s="21" t="s">
        <v>611</v>
      </c>
      <c r="C80" s="21" t="s">
        <v>42</v>
      </c>
      <c r="D80" s="21" t="s">
        <v>581</v>
      </c>
      <c r="E80" s="21" t="s">
        <v>582</v>
      </c>
      <c r="F80" s="21" t="s">
        <v>581</v>
      </c>
      <c r="G80" s="21" t="s">
        <v>582</v>
      </c>
      <c r="H80" s="21" t="s">
        <v>589</v>
      </c>
      <c r="I80" s="21" t="s">
        <v>590</v>
      </c>
      <c r="J80" s="22">
        <v>1</v>
      </c>
      <c r="K80" s="23">
        <v>0.69</v>
      </c>
      <c r="L80" s="23">
        <v>3.24</v>
      </c>
      <c r="M80" s="26">
        <v>100</v>
      </c>
      <c r="N80" s="25">
        <v>0.98670000000000002</v>
      </c>
      <c r="O80" s="24">
        <v>1.56</v>
      </c>
      <c r="P80" s="26">
        <v>0</v>
      </c>
      <c r="Q80" s="25">
        <v>2.5999999999999999E-3</v>
      </c>
      <c r="R80" s="26">
        <v>1</v>
      </c>
      <c r="S80" s="26">
        <v>0</v>
      </c>
      <c r="T80" s="26">
        <v>0</v>
      </c>
      <c r="U80" s="26">
        <v>0</v>
      </c>
      <c r="V80" s="26">
        <v>1</v>
      </c>
      <c r="W80" s="26">
        <v>0</v>
      </c>
      <c r="X80" s="26">
        <v>0</v>
      </c>
      <c r="Y80" s="26">
        <v>1</v>
      </c>
      <c r="Z80" s="25">
        <v>3.3999999999999998E-3</v>
      </c>
      <c r="AA80" s="26">
        <v>100</v>
      </c>
      <c r="AB80" s="26">
        <v>44</v>
      </c>
      <c r="AC80" s="26">
        <v>57</v>
      </c>
      <c r="AD80" s="26">
        <v>1172</v>
      </c>
      <c r="AE80" s="26">
        <v>254</v>
      </c>
      <c r="AF80" s="27">
        <v>0</v>
      </c>
      <c r="AG80" s="24">
        <v>98.68</v>
      </c>
      <c r="AH80" s="27">
        <v>0</v>
      </c>
      <c r="AI80" s="26">
        <v>0</v>
      </c>
      <c r="AJ80" s="24">
        <v>98.39</v>
      </c>
      <c r="AK80" s="27">
        <v>0</v>
      </c>
      <c r="AL80" s="22">
        <v>0</v>
      </c>
      <c r="AM80" s="28">
        <v>0.2591</v>
      </c>
      <c r="AN80" s="26">
        <v>0</v>
      </c>
      <c r="AO80" s="26">
        <v>9</v>
      </c>
      <c r="AP80" s="23">
        <v>36.58</v>
      </c>
      <c r="AQ80">
        <f t="shared" si="1"/>
        <v>100</v>
      </c>
    </row>
    <row r="81" spans="1:43" ht="16.5" x14ac:dyDescent="0.3">
      <c r="A81" s="21" t="s">
        <v>610</v>
      </c>
      <c r="B81" s="21" t="s">
        <v>611</v>
      </c>
      <c r="C81" s="21" t="s">
        <v>42</v>
      </c>
      <c r="D81" s="21" t="s">
        <v>581</v>
      </c>
      <c r="E81" s="21" t="s">
        <v>582</v>
      </c>
      <c r="F81" s="21" t="s">
        <v>581</v>
      </c>
      <c r="G81" s="21" t="s">
        <v>582</v>
      </c>
      <c r="H81" s="21" t="s">
        <v>591</v>
      </c>
      <c r="I81" s="21" t="s">
        <v>592</v>
      </c>
      <c r="J81" s="22">
        <v>1</v>
      </c>
      <c r="K81" s="23">
        <v>7.0000000000000007E-2</v>
      </c>
      <c r="L81" s="23">
        <v>2.84</v>
      </c>
      <c r="M81" s="26">
        <v>100</v>
      </c>
      <c r="N81" s="25">
        <v>0.99219999999999997</v>
      </c>
      <c r="O81" s="26">
        <v>0</v>
      </c>
      <c r="P81" s="26">
        <v>0</v>
      </c>
      <c r="Q81" s="25">
        <v>3.7000000000000002E-3</v>
      </c>
      <c r="R81" s="26">
        <v>0</v>
      </c>
      <c r="S81" s="26">
        <v>0</v>
      </c>
      <c r="T81" s="26">
        <v>0</v>
      </c>
      <c r="U81" s="26">
        <v>0</v>
      </c>
      <c r="V81" s="26">
        <v>0</v>
      </c>
      <c r="W81" s="26">
        <v>0</v>
      </c>
      <c r="X81" s="26">
        <v>0</v>
      </c>
      <c r="Y81" s="26">
        <v>0</v>
      </c>
      <c r="Z81" s="25">
        <v>3.0999999999999999E-3</v>
      </c>
      <c r="AA81" s="26">
        <v>100</v>
      </c>
      <c r="AB81" s="26">
        <v>8</v>
      </c>
      <c r="AC81" s="26">
        <v>8</v>
      </c>
      <c r="AD81" s="26">
        <v>1134</v>
      </c>
      <c r="AE81" s="26">
        <v>499</v>
      </c>
      <c r="AF81" s="27">
        <v>0</v>
      </c>
      <c r="AG81" s="24">
        <v>88.89</v>
      </c>
      <c r="AI81" s="26">
        <v>0</v>
      </c>
      <c r="AJ81" s="24">
        <v>96.76</v>
      </c>
      <c r="AK81" s="25">
        <v>0.22220000000000001</v>
      </c>
      <c r="AL81" s="22">
        <v>0</v>
      </c>
      <c r="AM81" s="28">
        <v>2.47E-2</v>
      </c>
      <c r="AN81" s="26">
        <v>0</v>
      </c>
      <c r="AO81" s="26">
        <v>8</v>
      </c>
      <c r="AP81" s="23">
        <v>31.83</v>
      </c>
      <c r="AQ81">
        <f t="shared" si="1"/>
        <v>100</v>
      </c>
    </row>
    <row r="82" spans="1:43" ht="16.5" x14ac:dyDescent="0.3">
      <c r="A82" s="21" t="s">
        <v>611</v>
      </c>
      <c r="B82" s="21" t="s">
        <v>612</v>
      </c>
      <c r="C82" s="21" t="s">
        <v>42</v>
      </c>
      <c r="D82" s="21" t="s">
        <v>581</v>
      </c>
      <c r="E82" s="21" t="s">
        <v>582</v>
      </c>
      <c r="F82" s="21" t="s">
        <v>581</v>
      </c>
      <c r="G82" s="21" t="s">
        <v>582</v>
      </c>
      <c r="H82" s="21" t="s">
        <v>585</v>
      </c>
      <c r="I82" s="21" t="s">
        <v>586</v>
      </c>
      <c r="J82" s="22">
        <v>1</v>
      </c>
      <c r="K82" s="23">
        <v>5.74</v>
      </c>
      <c r="L82" s="23">
        <v>19.59</v>
      </c>
      <c r="M82" s="24">
        <v>99.6</v>
      </c>
      <c r="N82" s="25">
        <v>0.96819999999999995</v>
      </c>
      <c r="O82" s="26">
        <v>0</v>
      </c>
      <c r="P82" s="24">
        <v>0.05</v>
      </c>
      <c r="Q82" s="25">
        <v>6.4999999999999997E-3</v>
      </c>
      <c r="R82" s="26">
        <v>0</v>
      </c>
      <c r="S82" s="26">
        <v>1</v>
      </c>
      <c r="T82" s="26">
        <v>0</v>
      </c>
      <c r="U82" s="26">
        <v>0</v>
      </c>
      <c r="V82" s="26">
        <v>0</v>
      </c>
      <c r="W82" s="26">
        <v>0</v>
      </c>
      <c r="X82" s="26">
        <v>0</v>
      </c>
      <c r="Y82" s="26">
        <v>0</v>
      </c>
      <c r="Z82" s="25">
        <v>1.9E-3</v>
      </c>
      <c r="AA82" s="24">
        <v>99.64</v>
      </c>
      <c r="AB82" s="26">
        <v>48</v>
      </c>
      <c r="AC82" s="26">
        <v>280</v>
      </c>
      <c r="AD82" s="26">
        <v>2339</v>
      </c>
      <c r="AE82" s="26">
        <v>497</v>
      </c>
      <c r="AF82" s="27">
        <v>0</v>
      </c>
      <c r="AG82" s="24">
        <v>99.55</v>
      </c>
      <c r="AI82" s="26">
        <v>0</v>
      </c>
      <c r="AJ82" s="24">
        <v>98.2</v>
      </c>
      <c r="AK82" s="25">
        <v>4.19E-2</v>
      </c>
      <c r="AL82" s="28">
        <v>1.0500000000000001E-2</v>
      </c>
      <c r="AM82" s="28">
        <v>0.88719999999999999</v>
      </c>
      <c r="AN82" s="26">
        <v>0</v>
      </c>
      <c r="AO82" s="26">
        <v>9</v>
      </c>
      <c r="AP82" s="23">
        <v>38.83</v>
      </c>
      <c r="AQ82">
        <f t="shared" si="1"/>
        <v>100</v>
      </c>
    </row>
    <row r="83" spans="1:43" ht="16.5" x14ac:dyDescent="0.3">
      <c r="A83" s="21" t="s">
        <v>611</v>
      </c>
      <c r="B83" s="21" t="s">
        <v>612</v>
      </c>
      <c r="C83" s="21" t="s">
        <v>42</v>
      </c>
      <c r="D83" s="21" t="s">
        <v>581</v>
      </c>
      <c r="E83" s="21" t="s">
        <v>582</v>
      </c>
      <c r="F83" s="21" t="s">
        <v>581</v>
      </c>
      <c r="G83" s="21" t="s">
        <v>582</v>
      </c>
      <c r="H83" s="21" t="s">
        <v>587</v>
      </c>
      <c r="I83" s="21" t="s">
        <v>588</v>
      </c>
      <c r="J83" s="22">
        <v>1</v>
      </c>
      <c r="K83" s="23">
        <v>4.8</v>
      </c>
      <c r="L83" s="23">
        <v>51.6</v>
      </c>
      <c r="M83" s="24">
        <v>99.26</v>
      </c>
      <c r="N83" s="25">
        <v>0.97519999999999996</v>
      </c>
      <c r="O83" s="24">
        <v>0.4</v>
      </c>
      <c r="P83" s="26">
        <v>0</v>
      </c>
      <c r="Q83" s="25">
        <v>1.52E-2</v>
      </c>
      <c r="R83" s="26">
        <v>1</v>
      </c>
      <c r="S83" s="26">
        <v>0</v>
      </c>
      <c r="T83" s="26">
        <v>0</v>
      </c>
      <c r="U83" s="26">
        <v>0</v>
      </c>
      <c r="V83" s="26">
        <v>1</v>
      </c>
      <c r="W83" s="26">
        <v>0</v>
      </c>
      <c r="X83" s="26">
        <v>0</v>
      </c>
      <c r="Y83" s="26">
        <v>1</v>
      </c>
      <c r="Z83" s="25">
        <v>2.2000000000000001E-3</v>
      </c>
      <c r="AA83" s="24">
        <v>99.26</v>
      </c>
      <c r="AB83" s="26">
        <v>51</v>
      </c>
      <c r="AC83" s="26">
        <v>271</v>
      </c>
      <c r="AD83" s="26">
        <v>3469</v>
      </c>
      <c r="AE83" s="26">
        <v>499</v>
      </c>
      <c r="AF83" s="27">
        <v>0</v>
      </c>
      <c r="AG83" s="24">
        <v>98.65</v>
      </c>
      <c r="AH83" s="27">
        <v>0</v>
      </c>
      <c r="AI83" s="26">
        <v>0</v>
      </c>
      <c r="AJ83" s="24">
        <v>97.84</v>
      </c>
      <c r="AK83" s="25">
        <v>0.11070000000000001</v>
      </c>
      <c r="AL83" s="28">
        <v>2.01E-2</v>
      </c>
      <c r="AM83" s="28">
        <v>0.81069999999999998</v>
      </c>
      <c r="AN83" s="26">
        <v>0</v>
      </c>
      <c r="AO83" s="26">
        <v>8</v>
      </c>
      <c r="AP83" s="23">
        <v>34.65</v>
      </c>
      <c r="AQ83">
        <f t="shared" si="1"/>
        <v>100</v>
      </c>
    </row>
    <row r="84" spans="1:43" ht="16.5" x14ac:dyDescent="0.3">
      <c r="A84" s="21" t="s">
        <v>611</v>
      </c>
      <c r="B84" s="21" t="s">
        <v>612</v>
      </c>
      <c r="C84" s="21" t="s">
        <v>42</v>
      </c>
      <c r="D84" s="21" t="s">
        <v>581</v>
      </c>
      <c r="E84" s="21" t="s">
        <v>582</v>
      </c>
      <c r="F84" s="21" t="s">
        <v>581</v>
      </c>
      <c r="G84" s="21" t="s">
        <v>582</v>
      </c>
      <c r="H84" s="21" t="s">
        <v>589</v>
      </c>
      <c r="I84" s="21" t="s">
        <v>590</v>
      </c>
      <c r="J84" s="22">
        <v>1</v>
      </c>
      <c r="K84" s="23">
        <v>4.45</v>
      </c>
      <c r="L84" s="23">
        <v>8.14</v>
      </c>
      <c r="M84" s="26">
        <v>100</v>
      </c>
      <c r="N84" s="25">
        <v>0.98470000000000002</v>
      </c>
      <c r="O84" s="24">
        <v>0.36</v>
      </c>
      <c r="P84" s="26">
        <v>0</v>
      </c>
      <c r="Q84" s="25">
        <v>1.2E-2</v>
      </c>
      <c r="R84" s="26">
        <v>1</v>
      </c>
      <c r="S84" s="26">
        <v>0</v>
      </c>
      <c r="T84" s="26">
        <v>0</v>
      </c>
      <c r="U84" s="26">
        <v>0</v>
      </c>
      <c r="V84" s="26">
        <v>1</v>
      </c>
      <c r="W84" s="26">
        <v>0</v>
      </c>
      <c r="X84" s="26">
        <v>0</v>
      </c>
      <c r="Y84" s="26">
        <v>1</v>
      </c>
      <c r="Z84" s="25">
        <v>1.8E-3</v>
      </c>
      <c r="AA84" s="26">
        <v>100</v>
      </c>
      <c r="AB84" s="26">
        <v>52</v>
      </c>
      <c r="AC84" s="26">
        <v>258</v>
      </c>
      <c r="AD84" s="26">
        <v>2018</v>
      </c>
      <c r="AE84" s="26">
        <v>280</v>
      </c>
      <c r="AF84" s="27">
        <v>0</v>
      </c>
      <c r="AG84" s="24">
        <v>98.11</v>
      </c>
      <c r="AH84" s="27">
        <v>0</v>
      </c>
      <c r="AI84" s="26">
        <v>0</v>
      </c>
      <c r="AJ84" s="24">
        <v>98.8</v>
      </c>
      <c r="AK84" s="25">
        <v>4.87E-2</v>
      </c>
      <c r="AL84" s="28">
        <v>1.4999999999999999E-2</v>
      </c>
      <c r="AM84" s="28">
        <v>0.80579999999999996</v>
      </c>
      <c r="AN84" s="26">
        <v>0</v>
      </c>
      <c r="AO84" s="26">
        <v>9</v>
      </c>
      <c r="AP84" s="23">
        <v>37.25</v>
      </c>
      <c r="AQ84">
        <f t="shared" si="1"/>
        <v>100</v>
      </c>
    </row>
    <row r="85" spans="1:43" ht="16.5" x14ac:dyDescent="0.3">
      <c r="A85" s="21" t="s">
        <v>611</v>
      </c>
      <c r="B85" s="21" t="s">
        <v>612</v>
      </c>
      <c r="C85" s="21" t="s">
        <v>42</v>
      </c>
      <c r="D85" s="21" t="s">
        <v>581</v>
      </c>
      <c r="E85" s="21" t="s">
        <v>582</v>
      </c>
      <c r="F85" s="21" t="s">
        <v>581</v>
      </c>
      <c r="G85" s="21" t="s">
        <v>582</v>
      </c>
      <c r="H85" s="21" t="s">
        <v>591</v>
      </c>
      <c r="I85" s="21" t="s">
        <v>592</v>
      </c>
      <c r="J85" s="22">
        <v>1</v>
      </c>
      <c r="K85" s="23">
        <v>1.1200000000000001</v>
      </c>
      <c r="L85" s="23">
        <v>4.88</v>
      </c>
      <c r="M85" s="26">
        <v>100</v>
      </c>
      <c r="N85" s="25">
        <v>0.98129999999999995</v>
      </c>
      <c r="O85" s="24">
        <v>1.25</v>
      </c>
      <c r="P85" s="26">
        <v>0</v>
      </c>
      <c r="Q85" s="25">
        <v>3.7000000000000002E-3</v>
      </c>
      <c r="R85" s="26">
        <v>1</v>
      </c>
      <c r="S85" s="26">
        <v>0</v>
      </c>
      <c r="T85" s="26">
        <v>0</v>
      </c>
      <c r="U85" s="26">
        <v>0</v>
      </c>
      <c r="V85" s="26">
        <v>1</v>
      </c>
      <c r="W85" s="26">
        <v>0</v>
      </c>
      <c r="X85" s="26">
        <v>0</v>
      </c>
      <c r="Y85" s="26">
        <v>1</v>
      </c>
      <c r="Z85" s="25">
        <v>3.2000000000000002E-3</v>
      </c>
      <c r="AA85" s="26">
        <v>100</v>
      </c>
      <c r="AB85" s="26">
        <v>46</v>
      </c>
      <c r="AC85" s="26">
        <v>73</v>
      </c>
      <c r="AD85" s="26">
        <v>2115</v>
      </c>
      <c r="AE85" s="26">
        <v>500</v>
      </c>
      <c r="AF85" s="27">
        <v>0</v>
      </c>
      <c r="AG85" s="26">
        <v>100</v>
      </c>
      <c r="AH85" s="27">
        <v>0</v>
      </c>
      <c r="AI85" s="26">
        <v>0</v>
      </c>
      <c r="AJ85" s="24">
        <v>97.1</v>
      </c>
      <c r="AK85" s="25">
        <v>0.1119</v>
      </c>
      <c r="AL85" s="28">
        <v>7.0000000000000001E-3</v>
      </c>
      <c r="AM85" s="28">
        <v>0.317</v>
      </c>
      <c r="AN85" s="26">
        <v>0</v>
      </c>
      <c r="AO85" s="26">
        <v>8</v>
      </c>
      <c r="AP85" s="23">
        <v>31.11</v>
      </c>
      <c r="AQ85">
        <f t="shared" si="1"/>
        <v>100</v>
      </c>
    </row>
    <row r="86" spans="1:43" ht="16.5" x14ac:dyDescent="0.3">
      <c r="A86" s="21" t="s">
        <v>612</v>
      </c>
      <c r="B86" s="21" t="s">
        <v>613</v>
      </c>
      <c r="C86" s="21" t="s">
        <v>42</v>
      </c>
      <c r="D86" s="21" t="s">
        <v>581</v>
      </c>
      <c r="E86" s="21" t="s">
        <v>582</v>
      </c>
      <c r="F86" s="21" t="s">
        <v>581</v>
      </c>
      <c r="G86" s="21" t="s">
        <v>582</v>
      </c>
      <c r="H86" s="21" t="s">
        <v>585</v>
      </c>
      <c r="I86" s="21" t="s">
        <v>586</v>
      </c>
      <c r="J86" s="22">
        <v>1</v>
      </c>
      <c r="K86" s="23">
        <v>9.41</v>
      </c>
      <c r="L86" s="23">
        <v>59.46</v>
      </c>
      <c r="M86" s="24">
        <v>99.83</v>
      </c>
      <c r="N86" s="25">
        <v>0.97499999999999998</v>
      </c>
      <c r="O86" s="26">
        <v>0</v>
      </c>
      <c r="P86" s="26">
        <v>0</v>
      </c>
      <c r="Q86" s="25">
        <v>8.8000000000000005E-3</v>
      </c>
      <c r="R86" s="26">
        <v>1</v>
      </c>
      <c r="S86" s="26">
        <v>0</v>
      </c>
      <c r="T86" s="26">
        <v>0</v>
      </c>
      <c r="U86" s="26">
        <v>0</v>
      </c>
      <c r="V86" s="26">
        <v>1</v>
      </c>
      <c r="W86" s="26">
        <v>0</v>
      </c>
      <c r="X86" s="26">
        <v>0</v>
      </c>
      <c r="Y86" s="26">
        <v>1</v>
      </c>
      <c r="Z86" s="25">
        <v>2.7000000000000001E-3</v>
      </c>
      <c r="AA86" s="24">
        <v>99.83</v>
      </c>
      <c r="AB86" s="26">
        <v>31</v>
      </c>
      <c r="AC86" s="26">
        <v>592</v>
      </c>
      <c r="AD86" s="26">
        <v>3792</v>
      </c>
      <c r="AE86" s="26">
        <v>736</v>
      </c>
      <c r="AF86" s="27">
        <v>0</v>
      </c>
      <c r="AG86" s="24">
        <v>99.03</v>
      </c>
      <c r="AH86" s="27">
        <v>0</v>
      </c>
      <c r="AI86" s="26">
        <v>0</v>
      </c>
      <c r="AJ86" s="24">
        <v>98.19</v>
      </c>
      <c r="AK86" s="25">
        <v>4.82E-2</v>
      </c>
      <c r="AL86" s="28">
        <v>2.2499999999999999E-2</v>
      </c>
      <c r="AM86" s="28">
        <v>0.9466</v>
      </c>
      <c r="AN86" s="26">
        <v>0</v>
      </c>
      <c r="AO86" s="26">
        <v>9</v>
      </c>
      <c r="AP86" s="23">
        <v>42.03</v>
      </c>
      <c r="AQ86">
        <f t="shared" si="1"/>
        <v>100</v>
      </c>
    </row>
    <row r="87" spans="1:43" ht="16.5" x14ac:dyDescent="0.3">
      <c r="A87" s="21" t="s">
        <v>612</v>
      </c>
      <c r="B87" s="21" t="s">
        <v>613</v>
      </c>
      <c r="C87" s="21" t="s">
        <v>42</v>
      </c>
      <c r="D87" s="21" t="s">
        <v>581</v>
      </c>
      <c r="E87" s="21" t="s">
        <v>582</v>
      </c>
      <c r="F87" s="21" t="s">
        <v>581</v>
      </c>
      <c r="G87" s="21" t="s">
        <v>582</v>
      </c>
      <c r="H87" s="21" t="s">
        <v>587</v>
      </c>
      <c r="I87" s="21" t="s">
        <v>588</v>
      </c>
      <c r="J87" s="22">
        <v>1</v>
      </c>
      <c r="K87" s="23">
        <v>8.49</v>
      </c>
      <c r="L87" s="23">
        <v>148.16999999999999</v>
      </c>
      <c r="M87" s="24">
        <v>99.82</v>
      </c>
      <c r="N87" s="25">
        <v>0.97319999999999995</v>
      </c>
      <c r="O87" s="24">
        <v>0.19</v>
      </c>
      <c r="P87" s="26">
        <v>0</v>
      </c>
      <c r="Q87" s="25">
        <v>1.46E-2</v>
      </c>
      <c r="R87" s="26">
        <v>2</v>
      </c>
      <c r="S87" s="26">
        <v>0</v>
      </c>
      <c r="T87" s="26">
        <v>0</v>
      </c>
      <c r="U87" s="26">
        <v>0</v>
      </c>
      <c r="V87" s="26">
        <v>2</v>
      </c>
      <c r="W87" s="26">
        <v>0</v>
      </c>
      <c r="X87" s="26">
        <v>0</v>
      </c>
      <c r="Y87" s="26">
        <v>2</v>
      </c>
      <c r="Z87" s="25">
        <v>2.8E-3</v>
      </c>
      <c r="AA87" s="24">
        <v>99.82</v>
      </c>
      <c r="AB87" s="26">
        <v>41</v>
      </c>
      <c r="AC87" s="26">
        <v>544</v>
      </c>
      <c r="AD87" s="26">
        <v>4784</v>
      </c>
      <c r="AE87" s="26">
        <v>647</v>
      </c>
      <c r="AF87" s="27">
        <v>0</v>
      </c>
      <c r="AG87" s="24">
        <v>96.04</v>
      </c>
      <c r="AH87" s="27">
        <v>0</v>
      </c>
      <c r="AI87" s="26">
        <v>0</v>
      </c>
      <c r="AJ87" s="24">
        <v>95.12</v>
      </c>
      <c r="AK87" s="25">
        <v>0.15590000000000001</v>
      </c>
      <c r="AL87" s="28">
        <v>1.61E-2</v>
      </c>
      <c r="AM87" s="28">
        <v>0.93049999999999999</v>
      </c>
      <c r="AN87" s="26">
        <v>0</v>
      </c>
      <c r="AO87" s="26">
        <v>8</v>
      </c>
      <c r="AP87" s="23">
        <v>34.29</v>
      </c>
      <c r="AQ87">
        <f t="shared" si="1"/>
        <v>100</v>
      </c>
    </row>
    <row r="88" spans="1:43" ht="16.5" x14ac:dyDescent="0.3">
      <c r="A88" s="21" t="s">
        <v>612</v>
      </c>
      <c r="B88" s="21" t="s">
        <v>613</v>
      </c>
      <c r="C88" s="21" t="s">
        <v>42</v>
      </c>
      <c r="D88" s="21" t="s">
        <v>581</v>
      </c>
      <c r="E88" s="21" t="s">
        <v>582</v>
      </c>
      <c r="F88" s="21" t="s">
        <v>581</v>
      </c>
      <c r="G88" s="21" t="s">
        <v>582</v>
      </c>
      <c r="H88" s="21" t="s">
        <v>589</v>
      </c>
      <c r="I88" s="21" t="s">
        <v>590</v>
      </c>
      <c r="J88" s="28">
        <v>0.94579999999999997</v>
      </c>
      <c r="K88" s="23">
        <v>7.39</v>
      </c>
      <c r="L88" s="23">
        <v>34.659999999999997</v>
      </c>
      <c r="M88" s="24">
        <v>99.32</v>
      </c>
      <c r="N88" s="25">
        <v>0.97840000000000005</v>
      </c>
      <c r="O88" s="24">
        <v>0.44</v>
      </c>
      <c r="P88" s="26">
        <v>0</v>
      </c>
      <c r="Q88" s="25">
        <v>9.7999999999999997E-3</v>
      </c>
      <c r="R88" s="26">
        <v>3</v>
      </c>
      <c r="S88" s="26">
        <v>0</v>
      </c>
      <c r="T88" s="26">
        <v>0</v>
      </c>
      <c r="U88" s="26">
        <v>0</v>
      </c>
      <c r="V88" s="26">
        <v>3</v>
      </c>
      <c r="W88" s="26">
        <v>0</v>
      </c>
      <c r="X88" s="26">
        <v>0</v>
      </c>
      <c r="Y88" s="26">
        <v>3</v>
      </c>
      <c r="Z88" s="25">
        <v>2.3E-3</v>
      </c>
      <c r="AA88" s="24">
        <v>99.32</v>
      </c>
      <c r="AB88" s="26">
        <v>38</v>
      </c>
      <c r="AC88" s="26">
        <v>438</v>
      </c>
      <c r="AD88" s="26">
        <v>3436</v>
      </c>
      <c r="AE88" s="26">
        <v>668</v>
      </c>
      <c r="AF88" s="27">
        <v>0</v>
      </c>
      <c r="AG88" s="24">
        <v>96.74</v>
      </c>
      <c r="AH88" s="27">
        <v>0</v>
      </c>
      <c r="AI88" s="26">
        <v>0</v>
      </c>
      <c r="AJ88" s="24">
        <v>98.15</v>
      </c>
      <c r="AK88" s="25">
        <v>7.4300000000000005E-2</v>
      </c>
      <c r="AL88" s="28">
        <v>1.8599999999999998E-2</v>
      </c>
      <c r="AM88" s="28">
        <v>0.90769999999999995</v>
      </c>
      <c r="AN88" s="26">
        <v>694</v>
      </c>
      <c r="AO88" s="26">
        <v>9</v>
      </c>
      <c r="AP88" s="23">
        <v>42.62</v>
      </c>
      <c r="AQ88">
        <f t="shared" si="1"/>
        <v>94.58</v>
      </c>
    </row>
    <row r="89" spans="1:43" ht="16.5" x14ac:dyDescent="0.3">
      <c r="A89" s="21" t="s">
        <v>612</v>
      </c>
      <c r="B89" s="21" t="s">
        <v>613</v>
      </c>
      <c r="C89" s="21" t="s">
        <v>42</v>
      </c>
      <c r="D89" s="21" t="s">
        <v>581</v>
      </c>
      <c r="E89" s="21" t="s">
        <v>582</v>
      </c>
      <c r="F89" s="21" t="s">
        <v>581</v>
      </c>
      <c r="G89" s="21" t="s">
        <v>582</v>
      </c>
      <c r="H89" s="21" t="s">
        <v>591</v>
      </c>
      <c r="I89" s="21" t="s">
        <v>592</v>
      </c>
      <c r="J89" s="22">
        <v>1</v>
      </c>
      <c r="K89" s="23">
        <v>3.89</v>
      </c>
      <c r="L89" s="23">
        <v>15.88</v>
      </c>
      <c r="M89" s="24">
        <v>99.91</v>
      </c>
      <c r="N89" s="25">
        <v>0.97670000000000001</v>
      </c>
      <c r="O89" s="24">
        <v>1.4</v>
      </c>
      <c r="P89" s="24">
        <v>0.09</v>
      </c>
      <c r="Q89" s="25">
        <v>6.1000000000000004E-3</v>
      </c>
      <c r="R89" s="26">
        <v>3</v>
      </c>
      <c r="S89" s="26">
        <v>3</v>
      </c>
      <c r="T89" s="26">
        <v>0</v>
      </c>
      <c r="U89" s="26">
        <v>0</v>
      </c>
      <c r="V89" s="26">
        <v>1</v>
      </c>
      <c r="W89" s="26">
        <v>2</v>
      </c>
      <c r="X89" s="26">
        <v>0</v>
      </c>
      <c r="Y89" s="26">
        <v>1</v>
      </c>
      <c r="Z89" s="25">
        <v>2.7000000000000001E-3</v>
      </c>
      <c r="AA89" s="26">
        <v>100</v>
      </c>
      <c r="AB89" s="26">
        <v>55</v>
      </c>
      <c r="AC89" s="26">
        <v>200</v>
      </c>
      <c r="AD89" s="26">
        <v>3522</v>
      </c>
      <c r="AE89" s="26">
        <v>660</v>
      </c>
      <c r="AF89" s="27">
        <v>0</v>
      </c>
      <c r="AG89" s="24">
        <v>97.58</v>
      </c>
      <c r="AH89" s="25">
        <v>0.66669999999999996</v>
      </c>
      <c r="AI89" s="26">
        <v>0</v>
      </c>
      <c r="AJ89" s="24">
        <v>94.93</v>
      </c>
      <c r="AK89" s="25">
        <v>0.12559999999999999</v>
      </c>
      <c r="AL89" s="28">
        <v>7.1999999999999998E-3</v>
      </c>
      <c r="AM89" s="28">
        <v>0.74909999999999999</v>
      </c>
      <c r="AN89" s="26">
        <v>0</v>
      </c>
      <c r="AO89" s="26">
        <v>8</v>
      </c>
      <c r="AP89" s="23">
        <v>32.44</v>
      </c>
      <c r="AQ89">
        <f t="shared" si="1"/>
        <v>100</v>
      </c>
    </row>
    <row r="90" spans="1:43" ht="16.5" x14ac:dyDescent="0.3">
      <c r="A90" s="21" t="s">
        <v>613</v>
      </c>
      <c r="B90" s="21" t="s">
        <v>614</v>
      </c>
      <c r="C90" s="21" t="s">
        <v>42</v>
      </c>
      <c r="D90" s="21" t="s">
        <v>581</v>
      </c>
      <c r="E90" s="21" t="s">
        <v>582</v>
      </c>
      <c r="F90" s="21" t="s">
        <v>581</v>
      </c>
      <c r="G90" s="21" t="s">
        <v>582</v>
      </c>
      <c r="H90" s="21" t="s">
        <v>585</v>
      </c>
      <c r="I90" s="21" t="s">
        <v>586</v>
      </c>
      <c r="J90" s="22">
        <v>1</v>
      </c>
      <c r="K90" s="23">
        <v>12.71</v>
      </c>
      <c r="L90" s="23">
        <v>85.07</v>
      </c>
      <c r="M90" s="24">
        <v>99.98</v>
      </c>
      <c r="N90" s="25">
        <v>0.9829</v>
      </c>
      <c r="O90" s="26">
        <v>0</v>
      </c>
      <c r="P90" s="24">
        <v>0.02</v>
      </c>
      <c r="Q90" s="25">
        <v>6.7000000000000002E-3</v>
      </c>
      <c r="R90" s="26">
        <v>1</v>
      </c>
      <c r="S90" s="26">
        <v>1</v>
      </c>
      <c r="T90" s="26">
        <v>0</v>
      </c>
      <c r="U90" s="26">
        <v>0</v>
      </c>
      <c r="V90" s="26">
        <v>1</v>
      </c>
      <c r="W90" s="26">
        <v>0</v>
      </c>
      <c r="X90" s="26">
        <v>0</v>
      </c>
      <c r="Y90" s="26">
        <v>1</v>
      </c>
      <c r="Z90" s="25">
        <v>2.5999999999999999E-3</v>
      </c>
      <c r="AA90" s="26">
        <v>100</v>
      </c>
      <c r="AB90" s="26">
        <v>9</v>
      </c>
      <c r="AC90" s="26">
        <v>791</v>
      </c>
      <c r="AD90" s="26">
        <v>4626</v>
      </c>
      <c r="AE90" s="26">
        <v>737</v>
      </c>
      <c r="AF90" s="27">
        <v>0</v>
      </c>
      <c r="AG90" s="24">
        <v>98.64</v>
      </c>
      <c r="AH90" s="27">
        <v>0</v>
      </c>
      <c r="AI90" s="26">
        <v>0</v>
      </c>
      <c r="AJ90" s="24">
        <v>97.64</v>
      </c>
      <c r="AK90" s="25">
        <v>4.7800000000000002E-2</v>
      </c>
      <c r="AL90" s="28">
        <v>2.1399999999999999E-2</v>
      </c>
      <c r="AM90" s="28">
        <v>0.96240000000000003</v>
      </c>
      <c r="AN90" s="26">
        <v>0</v>
      </c>
      <c r="AO90" s="26">
        <v>9</v>
      </c>
      <c r="AP90" s="23">
        <v>41.12</v>
      </c>
      <c r="AQ90">
        <f t="shared" si="1"/>
        <v>100</v>
      </c>
    </row>
    <row r="91" spans="1:43" ht="16.5" x14ac:dyDescent="0.3">
      <c r="A91" s="21" t="s">
        <v>613</v>
      </c>
      <c r="B91" s="21" t="s">
        <v>614</v>
      </c>
      <c r="C91" s="21" t="s">
        <v>42</v>
      </c>
      <c r="D91" s="21" t="s">
        <v>581</v>
      </c>
      <c r="E91" s="21" t="s">
        <v>582</v>
      </c>
      <c r="F91" s="21" t="s">
        <v>581</v>
      </c>
      <c r="G91" s="21" t="s">
        <v>582</v>
      </c>
      <c r="H91" s="21" t="s">
        <v>587</v>
      </c>
      <c r="I91" s="21" t="s">
        <v>588</v>
      </c>
      <c r="J91" s="22">
        <v>1</v>
      </c>
      <c r="K91" s="23">
        <v>11.96</v>
      </c>
      <c r="L91" s="23">
        <v>137.99</v>
      </c>
      <c r="M91" s="26">
        <v>100</v>
      </c>
      <c r="N91" s="25">
        <v>0.97019999999999995</v>
      </c>
      <c r="O91" s="24">
        <v>0.16</v>
      </c>
      <c r="P91" s="26">
        <v>0</v>
      </c>
      <c r="Q91" s="25">
        <v>1.3299999999999999E-2</v>
      </c>
      <c r="R91" s="26">
        <v>1</v>
      </c>
      <c r="S91" s="26">
        <v>0</v>
      </c>
      <c r="T91" s="26">
        <v>0</v>
      </c>
      <c r="U91" s="26">
        <v>0</v>
      </c>
      <c r="V91" s="26">
        <v>1</v>
      </c>
      <c r="W91" s="26">
        <v>0</v>
      </c>
      <c r="X91" s="26">
        <v>0</v>
      </c>
      <c r="Y91" s="26">
        <v>1</v>
      </c>
      <c r="Z91" s="25">
        <v>2.3999999999999998E-3</v>
      </c>
      <c r="AA91" s="26">
        <v>100</v>
      </c>
      <c r="AB91" s="26">
        <v>23</v>
      </c>
      <c r="AC91" s="26">
        <v>609</v>
      </c>
      <c r="AD91" s="26">
        <v>5017</v>
      </c>
      <c r="AE91" s="26">
        <v>655</v>
      </c>
      <c r="AF91" s="27">
        <v>0</v>
      </c>
      <c r="AG91" s="24">
        <v>97.63</v>
      </c>
      <c r="AH91" s="27">
        <v>0</v>
      </c>
      <c r="AI91" s="26">
        <v>0</v>
      </c>
      <c r="AJ91" s="24">
        <v>95.78</v>
      </c>
      <c r="AK91" s="25">
        <v>0.18090000000000001</v>
      </c>
      <c r="AL91" s="28">
        <v>1.5699999999999999E-2</v>
      </c>
      <c r="AM91" s="28">
        <v>0.90429999999999999</v>
      </c>
      <c r="AN91" s="26">
        <v>0</v>
      </c>
      <c r="AO91" s="26">
        <v>8</v>
      </c>
      <c r="AP91" s="23">
        <v>35.729999999999997</v>
      </c>
      <c r="AQ91">
        <f t="shared" si="1"/>
        <v>100</v>
      </c>
    </row>
    <row r="92" spans="1:43" ht="16.5" x14ac:dyDescent="0.3">
      <c r="A92" s="21" t="s">
        <v>613</v>
      </c>
      <c r="B92" s="21" t="s">
        <v>614</v>
      </c>
      <c r="C92" s="21" t="s">
        <v>42</v>
      </c>
      <c r="D92" s="21" t="s">
        <v>581</v>
      </c>
      <c r="E92" s="21" t="s">
        <v>582</v>
      </c>
      <c r="F92" s="21" t="s">
        <v>581</v>
      </c>
      <c r="G92" s="21" t="s">
        <v>582</v>
      </c>
      <c r="H92" s="21" t="s">
        <v>589</v>
      </c>
      <c r="I92" s="21" t="s">
        <v>590</v>
      </c>
      <c r="J92" s="22">
        <v>1</v>
      </c>
      <c r="K92" s="23">
        <v>9.7100000000000009</v>
      </c>
      <c r="L92" s="23">
        <v>41.94</v>
      </c>
      <c r="M92" s="24">
        <v>99.62</v>
      </c>
      <c r="N92" s="25">
        <v>0.9768</v>
      </c>
      <c r="O92" s="26">
        <v>0</v>
      </c>
      <c r="P92" s="24">
        <v>0.03</v>
      </c>
      <c r="Q92" s="25">
        <v>9.7999999999999997E-3</v>
      </c>
      <c r="R92" s="26">
        <v>0</v>
      </c>
      <c r="S92" s="26">
        <v>1</v>
      </c>
      <c r="T92" s="26">
        <v>0</v>
      </c>
      <c r="U92" s="26">
        <v>0</v>
      </c>
      <c r="V92" s="26">
        <v>0</v>
      </c>
      <c r="W92" s="26">
        <v>0</v>
      </c>
      <c r="X92" s="26">
        <v>0</v>
      </c>
      <c r="Y92" s="26">
        <v>0</v>
      </c>
      <c r="Z92" s="25">
        <v>2.5999999999999999E-3</v>
      </c>
      <c r="AA92" s="24">
        <v>99.65</v>
      </c>
      <c r="AB92" s="26">
        <v>42</v>
      </c>
      <c r="AC92" s="26">
        <v>564</v>
      </c>
      <c r="AD92" s="26">
        <v>3691</v>
      </c>
      <c r="AE92" s="26">
        <v>737</v>
      </c>
      <c r="AF92" s="27">
        <v>0</v>
      </c>
      <c r="AG92" s="24">
        <v>93.66</v>
      </c>
      <c r="AI92" s="26">
        <v>0</v>
      </c>
      <c r="AJ92" s="24">
        <v>97.3</v>
      </c>
      <c r="AK92" s="25">
        <v>9.69E-2</v>
      </c>
      <c r="AL92" s="28">
        <v>3.09E-2</v>
      </c>
      <c r="AM92" s="28">
        <v>0.92849999999999999</v>
      </c>
      <c r="AN92" s="26">
        <v>0</v>
      </c>
      <c r="AO92" s="26">
        <v>9</v>
      </c>
      <c r="AP92" s="23">
        <v>41.96</v>
      </c>
      <c r="AQ92">
        <f t="shared" si="1"/>
        <v>100</v>
      </c>
    </row>
    <row r="93" spans="1:43" ht="16.5" x14ac:dyDescent="0.3">
      <c r="A93" s="21" t="s">
        <v>613</v>
      </c>
      <c r="B93" s="21" t="s">
        <v>614</v>
      </c>
      <c r="C93" s="21" t="s">
        <v>42</v>
      </c>
      <c r="D93" s="21" t="s">
        <v>581</v>
      </c>
      <c r="E93" s="21" t="s">
        <v>582</v>
      </c>
      <c r="F93" s="21" t="s">
        <v>581</v>
      </c>
      <c r="G93" s="21" t="s">
        <v>582</v>
      </c>
      <c r="H93" s="21" t="s">
        <v>591</v>
      </c>
      <c r="I93" s="21" t="s">
        <v>592</v>
      </c>
      <c r="J93" s="22">
        <v>1</v>
      </c>
      <c r="K93" s="23">
        <v>4.47</v>
      </c>
      <c r="L93" s="23">
        <v>35.39</v>
      </c>
      <c r="M93" s="26">
        <v>100</v>
      </c>
      <c r="N93" s="25">
        <v>0.97430000000000005</v>
      </c>
      <c r="O93" s="24">
        <v>0.31</v>
      </c>
      <c r="P93" s="26">
        <v>0</v>
      </c>
      <c r="Q93" s="25">
        <v>6.4999999999999997E-3</v>
      </c>
      <c r="R93" s="26">
        <v>1</v>
      </c>
      <c r="S93" s="26">
        <v>0</v>
      </c>
      <c r="T93" s="26">
        <v>0</v>
      </c>
      <c r="U93" s="26">
        <v>0</v>
      </c>
      <c r="V93" s="26">
        <v>1</v>
      </c>
      <c r="W93" s="26">
        <v>0</v>
      </c>
      <c r="X93" s="26">
        <v>0</v>
      </c>
      <c r="Y93" s="26">
        <v>1</v>
      </c>
      <c r="Z93" s="25">
        <v>3.0999999999999999E-3</v>
      </c>
      <c r="AA93" s="26">
        <v>100</v>
      </c>
      <c r="AB93" s="26">
        <v>63</v>
      </c>
      <c r="AC93" s="26">
        <v>300</v>
      </c>
      <c r="AD93" s="26">
        <v>3911</v>
      </c>
      <c r="AE93" s="26">
        <v>658</v>
      </c>
      <c r="AF93" s="27">
        <v>0</v>
      </c>
      <c r="AG93" s="24">
        <v>96.21</v>
      </c>
      <c r="AH93" s="27">
        <v>0</v>
      </c>
      <c r="AI93" s="26">
        <v>0</v>
      </c>
      <c r="AJ93" s="24">
        <v>94.78</v>
      </c>
      <c r="AK93" s="25">
        <v>0.13170000000000001</v>
      </c>
      <c r="AL93" s="28">
        <v>4.4999999999999997E-3</v>
      </c>
      <c r="AM93" s="28">
        <v>0.76070000000000004</v>
      </c>
      <c r="AN93" s="26">
        <v>0</v>
      </c>
      <c r="AO93" s="26">
        <v>8</v>
      </c>
      <c r="AP93" s="23">
        <v>39.17</v>
      </c>
      <c r="AQ93">
        <f t="shared" si="1"/>
        <v>100</v>
      </c>
    </row>
    <row r="94" spans="1:43" x14ac:dyDescent="0.25">
      <c r="J94" s="2"/>
      <c r="K94" s="6"/>
      <c r="L94" s="6"/>
      <c r="M94" s="7"/>
      <c r="N94" s="8"/>
      <c r="O94" s="5"/>
      <c r="P94" s="7"/>
      <c r="Q94" s="8"/>
      <c r="R94" s="5"/>
      <c r="S94" s="5"/>
      <c r="T94" s="5"/>
      <c r="U94" s="5"/>
      <c r="V94" s="5"/>
      <c r="W94" s="5"/>
      <c r="X94" s="5"/>
      <c r="Y94" s="5"/>
      <c r="Z94" s="8"/>
      <c r="AA94" s="7"/>
      <c r="AB94" s="5"/>
      <c r="AC94" s="5"/>
      <c r="AD94" s="5"/>
      <c r="AE94" s="5"/>
      <c r="AF94" s="4"/>
      <c r="AG94" s="7"/>
      <c r="AH94" s="8"/>
      <c r="AI94" s="5"/>
      <c r="AJ94" s="7"/>
      <c r="AK94" s="8"/>
      <c r="AL94" s="9"/>
      <c r="AM94" s="9"/>
      <c r="AN94" s="5"/>
      <c r="AO94" s="5"/>
      <c r="AP94" s="6"/>
    </row>
    <row r="95" spans="1:43" x14ac:dyDescent="0.25">
      <c r="J95" s="2"/>
      <c r="K95" s="6"/>
      <c r="L95" s="6"/>
      <c r="M95" s="7"/>
      <c r="N95" s="8"/>
      <c r="O95" s="7"/>
      <c r="P95" s="7"/>
      <c r="Q95" s="8"/>
      <c r="R95" s="5"/>
      <c r="S95" s="5"/>
      <c r="T95" s="5"/>
      <c r="U95" s="5"/>
      <c r="V95" s="5"/>
      <c r="W95" s="5"/>
      <c r="X95" s="5"/>
      <c r="Y95" s="5"/>
      <c r="Z95" s="8"/>
      <c r="AA95" s="7"/>
      <c r="AB95" s="5"/>
      <c r="AC95" s="5"/>
      <c r="AD95" s="5"/>
      <c r="AE95" s="5"/>
      <c r="AF95" s="4"/>
      <c r="AG95" s="7"/>
      <c r="AH95" s="4"/>
      <c r="AI95" s="5"/>
      <c r="AJ95" s="7"/>
      <c r="AK95" s="8"/>
      <c r="AL95" s="9"/>
      <c r="AM95" s="9"/>
      <c r="AN95" s="5"/>
      <c r="AO95" s="5"/>
      <c r="AP95" s="6"/>
    </row>
    <row r="96" spans="1:43" x14ac:dyDescent="0.25">
      <c r="J96" s="2"/>
      <c r="K96" s="6"/>
      <c r="L96" s="6"/>
      <c r="M96" s="7"/>
      <c r="N96" s="8"/>
      <c r="O96" s="7"/>
      <c r="P96" s="7"/>
      <c r="Q96" s="8"/>
      <c r="R96" s="5"/>
      <c r="S96" s="5"/>
      <c r="T96" s="5"/>
      <c r="U96" s="5"/>
      <c r="V96" s="5"/>
      <c r="W96" s="5"/>
      <c r="X96" s="5"/>
      <c r="Y96" s="5"/>
      <c r="Z96" s="8"/>
      <c r="AA96" s="7"/>
      <c r="AB96" s="5"/>
      <c r="AC96" s="5"/>
      <c r="AD96" s="5"/>
      <c r="AE96" s="5"/>
      <c r="AF96" s="4"/>
      <c r="AG96" s="7"/>
      <c r="AH96" s="4"/>
      <c r="AI96" s="5"/>
      <c r="AJ96" s="7"/>
      <c r="AK96" s="8"/>
      <c r="AL96" s="9"/>
      <c r="AM96" s="9"/>
      <c r="AN96" s="5"/>
      <c r="AO96" s="5"/>
      <c r="AP96" s="6"/>
    </row>
    <row r="97" spans="10:42" x14ac:dyDescent="0.25">
      <c r="J97" s="2"/>
      <c r="K97" s="6"/>
      <c r="L97" s="6"/>
      <c r="M97" s="7"/>
      <c r="N97" s="8"/>
      <c r="O97" s="5"/>
      <c r="P97" s="7"/>
      <c r="Q97" s="8"/>
      <c r="R97" s="5"/>
      <c r="S97" s="5"/>
      <c r="T97" s="5"/>
      <c r="U97" s="5"/>
      <c r="V97" s="5"/>
      <c r="W97" s="5"/>
      <c r="X97" s="5"/>
      <c r="Y97" s="5"/>
      <c r="Z97" s="8"/>
      <c r="AA97" s="7"/>
      <c r="AB97" s="5"/>
      <c r="AC97" s="5"/>
      <c r="AD97" s="5"/>
      <c r="AE97" s="5"/>
      <c r="AF97" s="4"/>
      <c r="AG97" s="7"/>
      <c r="AH97" s="4"/>
      <c r="AI97" s="5"/>
      <c r="AJ97" s="7"/>
      <c r="AK97" s="8"/>
      <c r="AL97" s="9"/>
      <c r="AM97" s="9"/>
      <c r="AN97" s="5"/>
      <c r="AO97" s="5"/>
      <c r="AP97" s="6"/>
    </row>
    <row r="98" spans="10:42" x14ac:dyDescent="0.25">
      <c r="J98" s="2"/>
      <c r="K98" s="6"/>
      <c r="L98" s="6"/>
      <c r="M98" s="7"/>
      <c r="N98" s="8"/>
      <c r="O98" s="5"/>
      <c r="P98" s="7"/>
      <c r="Q98" s="8"/>
      <c r="R98" s="5"/>
      <c r="S98" s="5"/>
      <c r="T98" s="5"/>
      <c r="U98" s="5"/>
      <c r="V98" s="5"/>
      <c r="W98" s="5"/>
      <c r="X98" s="5"/>
      <c r="Y98" s="5"/>
      <c r="Z98" s="8"/>
      <c r="AA98" s="7"/>
      <c r="AB98" s="5"/>
      <c r="AC98" s="5"/>
      <c r="AD98" s="5"/>
      <c r="AE98" s="5"/>
      <c r="AF98" s="4"/>
      <c r="AG98" s="7"/>
      <c r="AH98" s="8"/>
      <c r="AI98" s="5"/>
      <c r="AJ98" s="7"/>
      <c r="AK98" s="8"/>
      <c r="AL98" s="9"/>
      <c r="AM98" s="9"/>
      <c r="AN98" s="5"/>
      <c r="AO98" s="5"/>
      <c r="AP98" s="6"/>
    </row>
    <row r="99" spans="10:42" x14ac:dyDescent="0.25">
      <c r="J99" s="2"/>
      <c r="K99" s="6"/>
      <c r="L99" s="6"/>
      <c r="M99" s="7"/>
      <c r="N99" s="8"/>
      <c r="O99" s="5"/>
      <c r="P99" s="7"/>
      <c r="Q99" s="8"/>
      <c r="R99" s="5"/>
      <c r="S99" s="5"/>
      <c r="T99" s="5"/>
      <c r="U99" s="5"/>
      <c r="V99" s="5"/>
      <c r="W99" s="5"/>
      <c r="X99" s="5"/>
      <c r="Y99" s="5"/>
      <c r="Z99" s="8"/>
      <c r="AA99" s="7"/>
      <c r="AB99" s="5"/>
      <c r="AC99" s="5"/>
      <c r="AD99" s="5"/>
      <c r="AE99" s="5"/>
      <c r="AF99" s="4"/>
      <c r="AG99" s="7"/>
      <c r="AH99" s="8"/>
      <c r="AI99" s="5"/>
      <c r="AJ99" s="7"/>
      <c r="AK99" s="8"/>
      <c r="AL99" s="9"/>
      <c r="AM99" s="9"/>
      <c r="AN99" s="5"/>
      <c r="AO99" s="5"/>
      <c r="AP99" s="6"/>
    </row>
    <row r="100" spans="10:42" x14ac:dyDescent="0.25">
      <c r="J100" s="2"/>
      <c r="K100" s="6"/>
      <c r="L100" s="6"/>
      <c r="M100" s="7"/>
      <c r="N100" s="8"/>
      <c r="O100" s="7"/>
      <c r="P100" s="7"/>
      <c r="Q100" s="4"/>
      <c r="R100" s="5"/>
      <c r="S100" s="5"/>
      <c r="T100" s="5"/>
      <c r="U100" s="5"/>
      <c r="V100" s="5"/>
      <c r="W100" s="5"/>
      <c r="X100" s="5"/>
      <c r="Y100" s="5"/>
      <c r="Z100" s="8"/>
      <c r="AA100" s="7"/>
      <c r="AB100" s="5"/>
      <c r="AC100" s="5"/>
      <c r="AD100" s="5"/>
      <c r="AE100" s="5"/>
      <c r="AF100" s="4"/>
      <c r="AG100" s="7"/>
      <c r="AH100" s="8"/>
      <c r="AI100" s="5"/>
      <c r="AJ100" s="7"/>
      <c r="AK100" s="8"/>
      <c r="AL100" s="9"/>
      <c r="AM100" s="9"/>
      <c r="AN100" s="5"/>
      <c r="AO100" s="5"/>
      <c r="AP100" s="6"/>
    </row>
    <row r="101" spans="10:42" x14ac:dyDescent="0.25">
      <c r="J101" s="2"/>
      <c r="K101" s="6"/>
      <c r="L101" s="6"/>
      <c r="M101" s="7"/>
      <c r="N101" s="8"/>
      <c r="O101" s="5"/>
      <c r="P101" s="7"/>
      <c r="Q101" s="8"/>
      <c r="R101" s="5"/>
      <c r="S101" s="5"/>
      <c r="T101" s="5"/>
      <c r="U101" s="5"/>
      <c r="V101" s="5"/>
      <c r="W101" s="5"/>
      <c r="X101" s="5"/>
      <c r="Y101" s="5"/>
      <c r="Z101" s="8"/>
      <c r="AA101" s="7"/>
      <c r="AB101" s="5"/>
      <c r="AC101" s="5"/>
      <c r="AD101" s="5"/>
      <c r="AE101" s="5"/>
      <c r="AF101" s="4"/>
      <c r="AG101" s="7"/>
      <c r="AH101" s="4"/>
      <c r="AI101" s="5"/>
      <c r="AJ101" s="7"/>
      <c r="AK101" s="8"/>
      <c r="AL101" s="9"/>
      <c r="AM101" s="9"/>
      <c r="AN101" s="5"/>
      <c r="AO101" s="5"/>
      <c r="AP101" s="6"/>
    </row>
    <row r="102" spans="10:42" x14ac:dyDescent="0.25">
      <c r="J102" s="2"/>
      <c r="K102" s="6"/>
      <c r="L102" s="3"/>
      <c r="M102" s="7"/>
      <c r="N102" s="8"/>
      <c r="O102" s="5"/>
      <c r="P102" s="7"/>
      <c r="Q102" s="8"/>
      <c r="R102" s="5"/>
      <c r="S102" s="5"/>
      <c r="T102" s="5"/>
      <c r="U102" s="5"/>
      <c r="V102" s="5"/>
      <c r="W102" s="5"/>
      <c r="X102" s="5"/>
      <c r="Y102" s="5"/>
      <c r="Z102" s="8"/>
      <c r="AA102" s="7"/>
      <c r="AB102" s="5"/>
      <c r="AC102" s="5"/>
      <c r="AD102" s="5"/>
      <c r="AE102" s="5"/>
      <c r="AF102" s="4"/>
      <c r="AG102" s="7"/>
      <c r="AH102" s="8"/>
      <c r="AI102" s="5"/>
      <c r="AJ102" s="7"/>
      <c r="AK102" s="8"/>
      <c r="AL102" s="9"/>
      <c r="AM102" s="9"/>
      <c r="AN102" s="5"/>
      <c r="AO102" s="5"/>
      <c r="AP102" s="6"/>
    </row>
    <row r="103" spans="10:42" x14ac:dyDescent="0.25">
      <c r="J103" s="2"/>
      <c r="K103" s="6"/>
      <c r="L103" s="6"/>
      <c r="M103" s="7"/>
      <c r="N103" s="8"/>
      <c r="O103" s="5"/>
      <c r="P103" s="7"/>
      <c r="Q103" s="8"/>
      <c r="R103" s="5"/>
      <c r="S103" s="5"/>
      <c r="T103" s="5"/>
      <c r="U103" s="5"/>
      <c r="V103" s="5"/>
      <c r="W103" s="5"/>
      <c r="X103" s="5"/>
      <c r="Y103" s="5"/>
      <c r="Z103" s="8"/>
      <c r="AA103" s="7"/>
      <c r="AB103" s="5"/>
      <c r="AC103" s="5"/>
      <c r="AD103" s="5"/>
      <c r="AE103" s="5"/>
      <c r="AF103" s="4"/>
      <c r="AG103" s="7"/>
      <c r="AH103" s="4"/>
      <c r="AI103" s="5"/>
      <c r="AJ103" s="7"/>
      <c r="AK103" s="8"/>
      <c r="AL103" s="9"/>
      <c r="AM103" s="9"/>
      <c r="AN103" s="5"/>
      <c r="AO103" s="5"/>
      <c r="AP103" s="6"/>
    </row>
    <row r="104" spans="10:42" x14ac:dyDescent="0.25">
      <c r="J104" s="2"/>
      <c r="K104" s="3"/>
      <c r="L104" s="6"/>
      <c r="M104" s="7"/>
      <c r="N104" s="8"/>
      <c r="O104" s="7"/>
      <c r="P104" s="7"/>
      <c r="Q104" s="8"/>
      <c r="R104" s="5"/>
      <c r="S104" s="5"/>
      <c r="T104" s="5"/>
      <c r="U104" s="5"/>
      <c r="V104" s="5"/>
      <c r="W104" s="5"/>
      <c r="X104" s="5"/>
      <c r="Y104" s="5"/>
      <c r="Z104" s="8"/>
      <c r="AA104" s="7"/>
      <c r="AB104" s="5"/>
      <c r="AC104" s="5"/>
      <c r="AD104" s="5"/>
      <c r="AE104" s="5"/>
      <c r="AF104" s="4"/>
      <c r="AG104" s="7"/>
      <c r="AH104" s="4"/>
      <c r="AI104" s="5"/>
      <c r="AJ104" s="7"/>
      <c r="AK104" s="8"/>
      <c r="AL104" s="9"/>
      <c r="AM104" s="9"/>
      <c r="AN104" s="5"/>
      <c r="AO104" s="5"/>
      <c r="AP104" s="6"/>
    </row>
    <row r="105" spans="10:42" x14ac:dyDescent="0.25">
      <c r="J105" s="2"/>
      <c r="K105" s="6"/>
      <c r="L105" s="6"/>
      <c r="M105" s="7"/>
      <c r="N105" s="8"/>
      <c r="O105" s="7"/>
      <c r="P105" s="7"/>
      <c r="Q105" s="8"/>
      <c r="R105" s="5"/>
      <c r="S105" s="5"/>
      <c r="T105" s="5"/>
      <c r="U105" s="5"/>
      <c r="V105" s="5"/>
      <c r="W105" s="5"/>
      <c r="X105" s="5"/>
      <c r="Y105" s="5"/>
      <c r="Z105" s="8"/>
      <c r="AA105" s="7"/>
      <c r="AB105" s="5"/>
      <c r="AC105" s="5"/>
      <c r="AD105" s="5"/>
      <c r="AE105" s="5"/>
      <c r="AF105" s="4"/>
      <c r="AG105" s="5"/>
      <c r="AH105" s="8"/>
      <c r="AI105" s="5"/>
      <c r="AJ105" s="7"/>
      <c r="AK105" s="8"/>
      <c r="AL105" s="9"/>
      <c r="AM105" s="9"/>
      <c r="AN105" s="5"/>
      <c r="AO105" s="5"/>
      <c r="AP105" s="6"/>
    </row>
    <row r="106" spans="10:42" x14ac:dyDescent="0.25">
      <c r="J106" s="2"/>
      <c r="K106" s="6"/>
      <c r="L106" s="6"/>
      <c r="M106" s="7"/>
      <c r="N106" s="8"/>
      <c r="O106" s="5"/>
      <c r="P106" s="7"/>
      <c r="Q106" s="8"/>
      <c r="R106" s="5"/>
      <c r="S106" s="5"/>
      <c r="T106" s="5"/>
      <c r="U106" s="5"/>
      <c r="V106" s="5"/>
      <c r="W106" s="5"/>
      <c r="X106" s="5"/>
      <c r="Y106" s="5"/>
      <c r="Z106" s="8"/>
      <c r="AA106" s="7"/>
      <c r="AB106" s="5"/>
      <c r="AC106" s="5"/>
      <c r="AD106" s="5"/>
      <c r="AE106" s="5"/>
      <c r="AF106" s="4"/>
      <c r="AG106" s="7"/>
      <c r="AH106" s="4"/>
      <c r="AI106" s="5"/>
      <c r="AJ106" s="7"/>
      <c r="AK106" s="8"/>
      <c r="AL106" s="9"/>
      <c r="AM106" s="9"/>
      <c r="AN106" s="5"/>
      <c r="AO106" s="5"/>
      <c r="AP106" s="6"/>
    </row>
    <row r="107" spans="10:42" x14ac:dyDescent="0.25">
      <c r="J107" s="2"/>
      <c r="K107" s="6"/>
      <c r="L107" s="6"/>
      <c r="M107" s="7"/>
      <c r="N107" s="8"/>
      <c r="O107" s="7"/>
      <c r="P107" s="7"/>
      <c r="Q107" s="8"/>
      <c r="R107" s="5"/>
      <c r="S107" s="5"/>
      <c r="T107" s="5"/>
      <c r="U107" s="5"/>
      <c r="V107" s="5"/>
      <c r="W107" s="5"/>
      <c r="X107" s="5"/>
      <c r="Y107" s="5"/>
      <c r="Z107" s="8"/>
      <c r="AA107" s="7"/>
      <c r="AB107" s="5"/>
      <c r="AC107" s="5"/>
      <c r="AD107" s="5"/>
      <c r="AE107" s="5"/>
      <c r="AF107" s="4"/>
      <c r="AG107" s="7"/>
      <c r="AH107" s="8"/>
      <c r="AI107" s="5"/>
      <c r="AJ107" s="7"/>
      <c r="AK107" s="8"/>
      <c r="AL107" s="9"/>
      <c r="AM107" s="9"/>
      <c r="AN107" s="5"/>
      <c r="AO107" s="5"/>
      <c r="AP107" s="6"/>
    </row>
    <row r="108" spans="10:42" x14ac:dyDescent="0.25">
      <c r="J108" s="2"/>
      <c r="K108" s="6"/>
      <c r="L108" s="6"/>
      <c r="M108" s="7"/>
      <c r="N108" s="8"/>
      <c r="O108" s="7"/>
      <c r="P108" s="7"/>
      <c r="Q108" s="8"/>
      <c r="R108" s="5"/>
      <c r="S108" s="5"/>
      <c r="T108" s="5"/>
      <c r="U108" s="5"/>
      <c r="V108" s="5"/>
      <c r="W108" s="5"/>
      <c r="X108" s="5"/>
      <c r="Y108" s="5"/>
      <c r="Z108" s="8"/>
      <c r="AA108" s="7"/>
      <c r="AB108" s="5"/>
      <c r="AC108" s="5"/>
      <c r="AD108" s="5"/>
      <c r="AE108" s="5"/>
      <c r="AF108" s="4"/>
      <c r="AG108" s="7"/>
      <c r="AH108" s="4"/>
      <c r="AI108" s="5"/>
      <c r="AJ108" s="7"/>
      <c r="AK108" s="8"/>
      <c r="AL108" s="9"/>
      <c r="AM108" s="9"/>
      <c r="AN108" s="5"/>
      <c r="AO108" s="5"/>
      <c r="AP108" s="6"/>
    </row>
    <row r="109" spans="10:42" x14ac:dyDescent="0.25">
      <c r="J109" s="2"/>
      <c r="K109" s="6"/>
      <c r="L109" s="6"/>
      <c r="M109" s="7"/>
      <c r="N109" s="8"/>
      <c r="O109" s="5"/>
      <c r="P109" s="7"/>
      <c r="Q109" s="8"/>
      <c r="R109" s="5"/>
      <c r="S109" s="5"/>
      <c r="T109" s="5"/>
      <c r="U109" s="5"/>
      <c r="V109" s="5"/>
      <c r="W109" s="5"/>
      <c r="X109" s="5"/>
      <c r="Y109" s="5"/>
      <c r="Z109" s="8"/>
      <c r="AA109" s="7"/>
      <c r="AB109" s="5"/>
      <c r="AC109" s="5"/>
      <c r="AD109" s="5"/>
      <c r="AE109" s="5"/>
      <c r="AF109" s="4"/>
      <c r="AG109" s="7"/>
      <c r="AH109" s="8"/>
      <c r="AI109" s="5"/>
      <c r="AJ109" s="7"/>
      <c r="AK109" s="8"/>
      <c r="AL109" s="9"/>
      <c r="AM109" s="2"/>
      <c r="AN109" s="5"/>
      <c r="AO109" s="5"/>
      <c r="AP109" s="6"/>
    </row>
    <row r="110" spans="10:42" x14ac:dyDescent="0.25">
      <c r="J110" s="2"/>
      <c r="K110" s="6"/>
      <c r="L110" s="6"/>
      <c r="M110" s="7"/>
      <c r="N110" s="8"/>
      <c r="O110" s="7"/>
      <c r="P110" s="7"/>
      <c r="Q110" s="8"/>
      <c r="R110" s="5"/>
      <c r="S110" s="5"/>
      <c r="T110" s="5"/>
      <c r="U110" s="5"/>
      <c r="V110" s="5"/>
      <c r="W110" s="5"/>
      <c r="X110" s="5"/>
      <c r="Y110" s="5"/>
      <c r="Z110" s="8"/>
      <c r="AA110" s="7"/>
      <c r="AB110" s="5"/>
      <c r="AC110" s="5"/>
      <c r="AD110" s="5"/>
      <c r="AE110" s="5"/>
      <c r="AF110" s="4"/>
      <c r="AG110" s="7"/>
      <c r="AH110" s="8"/>
      <c r="AI110" s="5"/>
      <c r="AJ110" s="7"/>
      <c r="AK110" s="8"/>
      <c r="AL110" s="9"/>
      <c r="AM110" s="9"/>
      <c r="AN110" s="5"/>
      <c r="AO110" s="5"/>
      <c r="AP110" s="6"/>
    </row>
    <row r="111" spans="10:42" x14ac:dyDescent="0.25">
      <c r="J111" s="2"/>
      <c r="K111" s="6"/>
      <c r="L111" s="6"/>
      <c r="M111" s="7"/>
      <c r="N111" s="8"/>
      <c r="O111" s="5"/>
      <c r="P111" s="7"/>
      <c r="Q111" s="8"/>
      <c r="R111" s="5"/>
      <c r="S111" s="5"/>
      <c r="T111" s="5"/>
      <c r="U111" s="5"/>
      <c r="V111" s="5"/>
      <c r="W111" s="5"/>
      <c r="X111" s="5"/>
      <c r="Y111" s="5"/>
      <c r="Z111" s="8"/>
      <c r="AA111" s="7"/>
      <c r="AB111" s="5"/>
      <c r="AC111" s="5"/>
      <c r="AD111" s="5"/>
      <c r="AE111" s="5"/>
      <c r="AF111" s="4"/>
      <c r="AG111" s="7"/>
      <c r="AH111" s="4"/>
      <c r="AI111" s="5"/>
      <c r="AJ111" s="7"/>
      <c r="AK111" s="8"/>
      <c r="AL111" s="9"/>
      <c r="AM111" s="9"/>
      <c r="AN111" s="5"/>
      <c r="AO111" s="5"/>
      <c r="AP111" s="6"/>
    </row>
    <row r="112" spans="10:42" x14ac:dyDescent="0.25">
      <c r="J112" s="2"/>
      <c r="K112" s="6"/>
      <c r="L112" s="6"/>
      <c r="M112" s="7"/>
      <c r="N112" s="8"/>
      <c r="O112" s="7"/>
      <c r="P112" s="7"/>
      <c r="Q112" s="8"/>
      <c r="R112" s="5"/>
      <c r="S112" s="5"/>
      <c r="T112" s="5"/>
      <c r="U112" s="5"/>
      <c r="V112" s="5"/>
      <c r="W112" s="5"/>
      <c r="X112" s="5"/>
      <c r="Y112" s="5"/>
      <c r="Z112" s="8"/>
      <c r="AA112" s="7"/>
      <c r="AB112" s="5"/>
      <c r="AC112" s="5"/>
      <c r="AD112" s="5"/>
      <c r="AE112" s="5"/>
      <c r="AF112" s="4"/>
      <c r="AG112" s="7"/>
      <c r="AH112" s="8"/>
      <c r="AI112" s="5"/>
      <c r="AJ112" s="7"/>
      <c r="AK112" s="8"/>
      <c r="AL112" s="9"/>
      <c r="AM112" s="9"/>
      <c r="AN112" s="5"/>
      <c r="AO112" s="5"/>
      <c r="AP112" s="6"/>
    </row>
    <row r="113" spans="10:42" x14ac:dyDescent="0.25">
      <c r="J113" s="2"/>
      <c r="K113" s="6"/>
      <c r="L113" s="6"/>
      <c r="M113" s="7"/>
      <c r="N113" s="8"/>
      <c r="O113" s="5"/>
      <c r="P113" s="7"/>
      <c r="Q113" s="8"/>
      <c r="R113" s="5"/>
      <c r="S113" s="5"/>
      <c r="T113" s="5"/>
      <c r="U113" s="5"/>
      <c r="V113" s="5"/>
      <c r="W113" s="5"/>
      <c r="X113" s="5"/>
      <c r="Y113" s="5"/>
      <c r="Z113" s="8"/>
      <c r="AA113" s="7"/>
      <c r="AB113" s="5"/>
      <c r="AC113" s="5"/>
      <c r="AD113" s="5"/>
      <c r="AE113" s="5"/>
      <c r="AF113" s="4"/>
      <c r="AG113" s="7"/>
      <c r="AH113" s="8"/>
      <c r="AI113" s="5"/>
      <c r="AJ113" s="7"/>
      <c r="AK113" s="8"/>
      <c r="AL113" s="9"/>
      <c r="AM113" s="9"/>
      <c r="AN113" s="5"/>
      <c r="AO113" s="5"/>
      <c r="AP113" s="6"/>
    </row>
    <row r="114" spans="10:42" x14ac:dyDescent="0.25">
      <c r="J114" s="2"/>
      <c r="K114" s="6"/>
      <c r="L114" s="6"/>
      <c r="M114" s="7"/>
      <c r="N114" s="8"/>
      <c r="O114" s="5"/>
      <c r="P114" s="7"/>
      <c r="Q114" s="8"/>
      <c r="R114" s="5"/>
      <c r="S114" s="5"/>
      <c r="T114" s="5"/>
      <c r="U114" s="5"/>
      <c r="V114" s="5"/>
      <c r="W114" s="5"/>
      <c r="X114" s="5"/>
      <c r="Y114" s="5"/>
      <c r="Z114" s="8"/>
      <c r="AA114" s="7"/>
      <c r="AB114" s="5"/>
      <c r="AC114" s="5"/>
      <c r="AD114" s="5"/>
      <c r="AE114" s="5"/>
      <c r="AF114" s="4"/>
      <c r="AG114" s="7"/>
      <c r="AH114" s="8"/>
      <c r="AI114" s="5"/>
      <c r="AJ114" s="7"/>
      <c r="AK114" s="8"/>
      <c r="AL114" s="9"/>
      <c r="AM114" s="9"/>
      <c r="AN114" s="5"/>
      <c r="AO114" s="5"/>
      <c r="AP114" s="6"/>
    </row>
    <row r="115" spans="10:42" x14ac:dyDescent="0.25">
      <c r="J115" s="2"/>
      <c r="K115" s="6"/>
      <c r="L115" s="6"/>
      <c r="M115" s="7"/>
      <c r="N115" s="8"/>
      <c r="O115" s="5"/>
      <c r="P115" s="7"/>
      <c r="Q115" s="8"/>
      <c r="R115" s="5"/>
      <c r="S115" s="5"/>
      <c r="T115" s="5"/>
      <c r="U115" s="5"/>
      <c r="V115" s="5"/>
      <c r="W115" s="5"/>
      <c r="X115" s="5"/>
      <c r="Y115" s="5"/>
      <c r="Z115" s="8"/>
      <c r="AA115" s="7"/>
      <c r="AB115" s="5"/>
      <c r="AC115" s="5"/>
      <c r="AD115" s="5"/>
      <c r="AE115" s="5"/>
      <c r="AF115" s="4"/>
      <c r="AG115" s="7"/>
      <c r="AH115" s="4"/>
      <c r="AI115" s="5"/>
      <c r="AJ115" s="7"/>
      <c r="AK115" s="8"/>
      <c r="AL115" s="9"/>
      <c r="AM115" s="9"/>
      <c r="AN115" s="5"/>
      <c r="AO115" s="5"/>
      <c r="AP115" s="6"/>
    </row>
    <row r="116" spans="10:42" x14ac:dyDescent="0.25">
      <c r="J116" s="2"/>
      <c r="K116" s="6"/>
      <c r="L116" s="6"/>
      <c r="M116" s="7"/>
      <c r="N116" s="8"/>
      <c r="O116" s="7"/>
      <c r="P116" s="7"/>
      <c r="Q116" s="8"/>
      <c r="R116" s="5"/>
      <c r="S116" s="5"/>
      <c r="T116" s="5"/>
      <c r="U116" s="5"/>
      <c r="V116" s="5"/>
      <c r="W116" s="5"/>
      <c r="X116" s="5"/>
      <c r="Y116" s="5"/>
      <c r="Z116" s="8"/>
      <c r="AA116" s="7"/>
      <c r="AB116" s="5"/>
      <c r="AC116" s="5"/>
      <c r="AD116" s="5"/>
      <c r="AE116" s="5"/>
      <c r="AF116" s="4"/>
      <c r="AG116" s="7"/>
      <c r="AH116" s="8"/>
      <c r="AI116" s="5"/>
      <c r="AJ116" s="7"/>
      <c r="AK116" s="8"/>
      <c r="AL116" s="9"/>
      <c r="AM116" s="9"/>
      <c r="AN116" s="5"/>
      <c r="AO116" s="5"/>
      <c r="AP116" s="6"/>
    </row>
    <row r="117" spans="10:42" x14ac:dyDescent="0.25">
      <c r="J117" s="2"/>
      <c r="K117" s="6"/>
      <c r="L117" s="6"/>
      <c r="M117" s="7"/>
      <c r="N117" s="8"/>
      <c r="O117" s="5"/>
      <c r="P117" s="7"/>
      <c r="Q117" s="8"/>
      <c r="R117" s="5"/>
      <c r="S117" s="5"/>
      <c r="T117" s="5"/>
      <c r="U117" s="5"/>
      <c r="V117" s="5"/>
      <c r="W117" s="5"/>
      <c r="X117" s="5"/>
      <c r="Y117" s="5"/>
      <c r="Z117" s="8"/>
      <c r="AA117" s="7"/>
      <c r="AB117" s="5"/>
      <c r="AC117" s="5"/>
      <c r="AD117" s="5"/>
      <c r="AE117" s="5"/>
      <c r="AF117" s="4"/>
      <c r="AG117" s="7"/>
      <c r="AH117" s="4"/>
      <c r="AI117" s="5"/>
      <c r="AJ117" s="7"/>
      <c r="AK117" s="8"/>
      <c r="AL117" s="9"/>
      <c r="AM117" s="9"/>
      <c r="AN117" s="5"/>
      <c r="AO117" s="5"/>
      <c r="AP117" s="6"/>
    </row>
    <row r="118" spans="10:42" x14ac:dyDescent="0.25">
      <c r="J118" s="2"/>
      <c r="K118" s="6"/>
      <c r="L118" s="6"/>
      <c r="M118" s="7"/>
      <c r="N118" s="8"/>
      <c r="O118" s="5"/>
      <c r="P118" s="7"/>
      <c r="Q118" s="8"/>
      <c r="R118" s="5"/>
      <c r="S118" s="5"/>
      <c r="T118" s="5"/>
      <c r="U118" s="5"/>
      <c r="V118" s="5"/>
      <c r="W118" s="5"/>
      <c r="X118" s="5"/>
      <c r="Y118" s="5"/>
      <c r="Z118" s="8"/>
      <c r="AA118" s="7"/>
      <c r="AB118" s="5"/>
      <c r="AC118" s="5"/>
      <c r="AD118" s="5"/>
      <c r="AE118" s="5"/>
      <c r="AF118" s="4"/>
      <c r="AG118" s="7"/>
      <c r="AH118" s="8"/>
      <c r="AI118" s="5"/>
      <c r="AJ118" s="7"/>
      <c r="AK118" s="8"/>
      <c r="AL118" s="9"/>
      <c r="AM118" s="9"/>
      <c r="AN118" s="5"/>
      <c r="AO118" s="5"/>
      <c r="AP118" s="6"/>
    </row>
    <row r="119" spans="10:42" x14ac:dyDescent="0.25">
      <c r="J119" s="2"/>
      <c r="K119" s="6"/>
      <c r="L119" s="6"/>
      <c r="M119" s="7"/>
      <c r="N119" s="8"/>
      <c r="O119" s="5"/>
      <c r="P119" s="7"/>
      <c r="Q119" s="8"/>
      <c r="R119" s="5"/>
      <c r="S119" s="5"/>
      <c r="T119" s="5"/>
      <c r="U119" s="5"/>
      <c r="V119" s="5"/>
      <c r="W119" s="5"/>
      <c r="X119" s="5"/>
      <c r="Y119" s="5"/>
      <c r="Z119" s="8"/>
      <c r="AA119" s="7"/>
      <c r="AB119" s="5"/>
      <c r="AC119" s="5"/>
      <c r="AD119" s="5"/>
      <c r="AE119" s="5"/>
      <c r="AF119" s="4"/>
      <c r="AG119" s="7"/>
      <c r="AH119" s="8"/>
      <c r="AI119" s="5"/>
      <c r="AJ119" s="7"/>
      <c r="AK119" s="8"/>
      <c r="AL119" s="9"/>
      <c r="AM119" s="9"/>
      <c r="AN119" s="5"/>
      <c r="AO119" s="5"/>
      <c r="AP119" s="6"/>
    </row>
    <row r="120" spans="10:42" x14ac:dyDescent="0.25">
      <c r="J120" s="2"/>
      <c r="K120" s="6"/>
      <c r="L120" s="6"/>
      <c r="M120" s="7"/>
      <c r="N120" s="8"/>
      <c r="O120" s="7"/>
      <c r="P120" s="7"/>
      <c r="Q120" s="8"/>
      <c r="R120" s="5"/>
      <c r="S120" s="5"/>
      <c r="T120" s="5"/>
      <c r="U120" s="5"/>
      <c r="V120" s="5"/>
      <c r="W120" s="5"/>
      <c r="X120" s="5"/>
      <c r="Y120" s="5"/>
      <c r="Z120" s="8"/>
      <c r="AA120" s="7"/>
      <c r="AB120" s="5"/>
      <c r="AC120" s="5"/>
      <c r="AD120" s="5"/>
      <c r="AE120" s="5"/>
      <c r="AF120" s="4"/>
      <c r="AG120" s="7"/>
      <c r="AH120" s="4"/>
      <c r="AI120" s="5"/>
      <c r="AJ120" s="7"/>
      <c r="AK120" s="8"/>
      <c r="AL120" s="9"/>
      <c r="AM120" s="9"/>
      <c r="AN120" s="5"/>
      <c r="AO120" s="5"/>
      <c r="AP120" s="6"/>
    </row>
    <row r="121" spans="10:42" x14ac:dyDescent="0.25">
      <c r="J121" s="2"/>
      <c r="K121" s="6"/>
      <c r="L121" s="6"/>
      <c r="M121" s="7"/>
      <c r="N121" s="8"/>
      <c r="O121" s="5"/>
      <c r="P121" s="7"/>
      <c r="Q121" s="8"/>
      <c r="R121" s="5"/>
      <c r="S121" s="5"/>
      <c r="T121" s="5"/>
      <c r="U121" s="5"/>
      <c r="V121" s="5"/>
      <c r="W121" s="5"/>
      <c r="X121" s="5"/>
      <c r="Y121" s="5"/>
      <c r="Z121" s="8"/>
      <c r="AA121" s="7"/>
      <c r="AB121" s="5"/>
      <c r="AC121" s="5"/>
      <c r="AD121" s="5"/>
      <c r="AE121" s="5"/>
      <c r="AF121" s="4"/>
      <c r="AG121" s="7"/>
      <c r="AH121" s="4"/>
      <c r="AI121" s="5"/>
      <c r="AJ121" s="7"/>
      <c r="AK121" s="8"/>
      <c r="AL121" s="9"/>
      <c r="AM121" s="9"/>
      <c r="AN121" s="5"/>
      <c r="AO121" s="5"/>
      <c r="AP121" s="6"/>
    </row>
    <row r="122" spans="10:42" x14ac:dyDescent="0.25">
      <c r="J122" s="2"/>
      <c r="K122" s="6"/>
      <c r="L122" s="6"/>
      <c r="M122" s="7"/>
      <c r="N122" s="8"/>
      <c r="O122" s="7"/>
      <c r="P122" s="7"/>
      <c r="Q122" s="8"/>
      <c r="R122" s="5"/>
      <c r="S122" s="5"/>
      <c r="T122" s="5"/>
      <c r="U122" s="5"/>
      <c r="V122" s="5"/>
      <c r="W122" s="5"/>
      <c r="X122" s="5"/>
      <c r="Y122" s="5"/>
      <c r="Z122" s="8"/>
      <c r="AA122" s="7"/>
      <c r="AB122" s="5"/>
      <c r="AC122" s="5"/>
      <c r="AD122" s="5"/>
      <c r="AE122" s="5"/>
      <c r="AF122" s="4"/>
      <c r="AG122" s="7"/>
      <c r="AH122" s="4"/>
      <c r="AI122" s="5"/>
      <c r="AJ122" s="7"/>
      <c r="AK122" s="8"/>
      <c r="AL122" s="9"/>
      <c r="AM122" s="9"/>
      <c r="AN122" s="5"/>
      <c r="AO122" s="5"/>
      <c r="AP122" s="6"/>
    </row>
    <row r="123" spans="10:42" x14ac:dyDescent="0.25">
      <c r="J123" s="2"/>
      <c r="K123" s="6"/>
      <c r="L123" s="6"/>
      <c r="M123" s="7"/>
      <c r="N123" s="4"/>
      <c r="O123" s="5"/>
      <c r="P123" s="7"/>
      <c r="Q123" s="8"/>
      <c r="R123" s="5"/>
      <c r="S123" s="5"/>
      <c r="T123" s="5"/>
      <c r="U123" s="5"/>
      <c r="V123" s="5"/>
      <c r="W123" s="5"/>
      <c r="X123" s="5"/>
      <c r="Y123" s="5"/>
      <c r="Z123" s="8"/>
      <c r="AA123" s="7"/>
      <c r="AB123" s="5"/>
      <c r="AC123" s="5"/>
      <c r="AD123" s="5"/>
      <c r="AE123" s="5"/>
      <c r="AF123" s="4"/>
      <c r="AG123" s="7"/>
      <c r="AH123" s="4"/>
      <c r="AI123" s="5"/>
      <c r="AJ123" s="7"/>
      <c r="AK123" s="8"/>
      <c r="AL123" s="9"/>
      <c r="AM123" s="9"/>
      <c r="AN123" s="5"/>
      <c r="AO123" s="5"/>
      <c r="AP123" s="6"/>
    </row>
    <row r="124" spans="10:42" x14ac:dyDescent="0.25">
      <c r="J124" s="2"/>
      <c r="K124" s="6"/>
      <c r="L124" s="6"/>
      <c r="M124" s="5"/>
      <c r="N124" s="8"/>
      <c r="O124" s="7"/>
      <c r="P124" s="7"/>
      <c r="Q124" s="8"/>
      <c r="R124" s="5"/>
      <c r="S124" s="5"/>
      <c r="T124" s="5"/>
      <c r="U124" s="5"/>
      <c r="V124" s="5"/>
      <c r="W124" s="5"/>
      <c r="X124" s="5"/>
      <c r="Y124" s="5"/>
      <c r="Z124" s="8"/>
      <c r="AA124" s="7"/>
      <c r="AB124" s="5"/>
      <c r="AC124" s="5"/>
      <c r="AD124" s="5"/>
      <c r="AE124" s="5"/>
      <c r="AF124" s="4"/>
      <c r="AG124" s="7"/>
      <c r="AH124" s="8"/>
      <c r="AI124" s="5"/>
      <c r="AJ124" s="7"/>
      <c r="AK124" s="8"/>
      <c r="AL124" s="9"/>
      <c r="AM124" s="9"/>
      <c r="AN124" s="5"/>
      <c r="AO124" s="5"/>
      <c r="AP124" s="6"/>
    </row>
    <row r="125" spans="10:42" x14ac:dyDescent="0.25">
      <c r="J125" s="2"/>
      <c r="K125" s="6"/>
      <c r="L125" s="6"/>
      <c r="M125" s="7"/>
      <c r="N125" s="8"/>
      <c r="O125" s="7"/>
      <c r="P125" s="7"/>
      <c r="Q125" s="8"/>
      <c r="R125" s="5"/>
      <c r="S125" s="5"/>
      <c r="T125" s="5"/>
      <c r="U125" s="5"/>
      <c r="V125" s="5"/>
      <c r="W125" s="5"/>
      <c r="X125" s="5"/>
      <c r="Y125" s="5"/>
      <c r="Z125" s="8"/>
      <c r="AA125" s="7"/>
      <c r="AB125" s="5"/>
      <c r="AC125" s="5"/>
      <c r="AD125" s="5"/>
      <c r="AE125" s="5"/>
      <c r="AF125" s="4"/>
      <c r="AG125" s="7"/>
      <c r="AH125" s="4"/>
      <c r="AI125" s="5"/>
      <c r="AJ125" s="7"/>
      <c r="AK125" s="8"/>
      <c r="AL125" s="9"/>
      <c r="AM125" s="2"/>
      <c r="AN125" s="5"/>
      <c r="AO125" s="5"/>
      <c r="AP125" s="6"/>
    </row>
    <row r="126" spans="10:42" x14ac:dyDescent="0.25">
      <c r="J126" s="2"/>
      <c r="K126" s="6"/>
      <c r="L126" s="6"/>
      <c r="M126" s="7"/>
      <c r="N126" s="8"/>
      <c r="O126" s="5"/>
      <c r="P126" s="7"/>
      <c r="Q126" s="8"/>
      <c r="R126" s="5"/>
      <c r="S126" s="5"/>
      <c r="T126" s="5"/>
      <c r="U126" s="5"/>
      <c r="V126" s="5"/>
      <c r="W126" s="5"/>
      <c r="X126" s="5"/>
      <c r="Y126" s="5"/>
      <c r="Z126" s="8"/>
      <c r="AA126" s="7"/>
      <c r="AB126" s="5"/>
      <c r="AC126" s="5"/>
      <c r="AD126" s="5"/>
      <c r="AE126" s="5"/>
      <c r="AF126" s="4"/>
      <c r="AG126" s="7"/>
      <c r="AH126" s="4"/>
      <c r="AI126" s="5"/>
      <c r="AJ126" s="5"/>
      <c r="AK126" s="8"/>
      <c r="AL126" s="9"/>
      <c r="AM126" s="9"/>
      <c r="AN126" s="5"/>
      <c r="AO126" s="5"/>
      <c r="AP126" s="6"/>
    </row>
    <row r="127" spans="10:42" x14ac:dyDescent="0.25">
      <c r="J127" s="2"/>
      <c r="K127" s="3"/>
      <c r="L127" s="6"/>
      <c r="M127" s="7"/>
      <c r="N127" s="8"/>
      <c r="O127" s="7"/>
      <c r="P127" s="7"/>
      <c r="Q127" s="8"/>
      <c r="R127" s="5"/>
      <c r="S127" s="5"/>
      <c r="T127" s="5"/>
      <c r="U127" s="5"/>
      <c r="V127" s="5"/>
      <c r="W127" s="5"/>
      <c r="X127" s="5"/>
      <c r="Y127" s="5"/>
      <c r="Z127" s="8"/>
      <c r="AA127" s="7"/>
      <c r="AB127" s="5"/>
      <c r="AC127" s="5"/>
      <c r="AD127" s="5"/>
      <c r="AE127" s="5"/>
      <c r="AF127" s="4"/>
      <c r="AG127" s="7"/>
      <c r="AH127" s="8"/>
      <c r="AI127" s="5"/>
      <c r="AJ127" s="7"/>
      <c r="AK127" s="8"/>
      <c r="AL127" s="9"/>
      <c r="AM127" s="9"/>
      <c r="AN127" s="5"/>
      <c r="AO127" s="5"/>
      <c r="AP127" s="6"/>
    </row>
    <row r="128" spans="10:42" x14ac:dyDescent="0.25">
      <c r="J128" s="2"/>
      <c r="K128" s="6"/>
      <c r="L128" s="6"/>
      <c r="M128" s="7"/>
      <c r="N128" s="8"/>
      <c r="O128" s="7"/>
      <c r="P128" s="7"/>
      <c r="Q128" s="8"/>
      <c r="R128" s="5"/>
      <c r="S128" s="5"/>
      <c r="T128" s="5"/>
      <c r="U128" s="5"/>
      <c r="V128" s="5"/>
      <c r="W128" s="5"/>
      <c r="X128" s="5"/>
      <c r="Y128" s="5"/>
      <c r="Z128" s="8"/>
      <c r="AA128" s="7"/>
      <c r="AB128" s="5"/>
      <c r="AC128" s="5"/>
      <c r="AD128" s="5"/>
      <c r="AE128" s="5"/>
      <c r="AF128" s="4"/>
      <c r="AG128" s="7"/>
      <c r="AH128" s="8"/>
      <c r="AI128" s="5"/>
      <c r="AJ128" s="7"/>
      <c r="AK128" s="8"/>
      <c r="AL128" s="9"/>
      <c r="AM128" s="9"/>
      <c r="AN128" s="5"/>
      <c r="AO128" s="5"/>
      <c r="AP128" s="6"/>
    </row>
    <row r="129" spans="10:42" x14ac:dyDescent="0.25">
      <c r="J129" s="2"/>
      <c r="K129" s="6"/>
      <c r="L129" s="6"/>
      <c r="M129" s="7"/>
      <c r="N129" s="8"/>
      <c r="O129" s="7"/>
      <c r="P129" s="7"/>
      <c r="Q129" s="8"/>
      <c r="R129" s="5"/>
      <c r="S129" s="5"/>
      <c r="T129" s="5"/>
      <c r="U129" s="5"/>
      <c r="V129" s="5"/>
      <c r="W129" s="5"/>
      <c r="X129" s="5"/>
      <c r="Y129" s="5"/>
      <c r="Z129" s="8"/>
      <c r="AA129" s="7"/>
      <c r="AB129" s="5"/>
      <c r="AC129" s="5"/>
      <c r="AD129" s="5"/>
      <c r="AE129" s="5"/>
      <c r="AF129" s="4"/>
      <c r="AG129" s="7"/>
      <c r="AH129" s="8"/>
      <c r="AI129" s="5"/>
      <c r="AJ129" s="7"/>
      <c r="AK129" s="8"/>
      <c r="AL129" s="9"/>
      <c r="AM129" s="9"/>
      <c r="AN129" s="5"/>
      <c r="AO129" s="5"/>
      <c r="AP129" s="6"/>
    </row>
    <row r="130" spans="10:42" x14ac:dyDescent="0.25">
      <c r="J130" s="2"/>
      <c r="K130" s="6"/>
      <c r="L130" s="6"/>
      <c r="M130" s="7"/>
      <c r="N130" s="8"/>
      <c r="O130" s="7"/>
      <c r="P130" s="5"/>
      <c r="Q130" s="8"/>
      <c r="R130" s="5"/>
      <c r="S130" s="5"/>
      <c r="T130" s="5"/>
      <c r="U130" s="5"/>
      <c r="V130" s="5"/>
      <c r="W130" s="5"/>
      <c r="X130" s="5"/>
      <c r="Y130" s="5"/>
      <c r="Z130" s="8"/>
      <c r="AA130" s="7"/>
      <c r="AB130" s="5"/>
      <c r="AC130" s="5"/>
      <c r="AD130" s="5"/>
      <c r="AE130" s="5"/>
      <c r="AF130" s="4"/>
      <c r="AG130" s="7"/>
      <c r="AH130" s="4"/>
      <c r="AI130" s="5"/>
      <c r="AJ130" s="7"/>
      <c r="AK130" s="8"/>
      <c r="AL130" s="9"/>
      <c r="AM130" s="9"/>
      <c r="AN130" s="5"/>
      <c r="AO130" s="5"/>
      <c r="AP130" s="6"/>
    </row>
    <row r="131" spans="10:42" x14ac:dyDescent="0.25">
      <c r="J131" s="2"/>
      <c r="K131" s="6"/>
      <c r="L131" s="6"/>
      <c r="M131" s="7"/>
      <c r="N131" s="8"/>
      <c r="O131" s="7"/>
      <c r="P131" s="7"/>
      <c r="Q131" s="8"/>
      <c r="R131" s="5"/>
      <c r="S131" s="5"/>
      <c r="T131" s="5"/>
      <c r="U131" s="5"/>
      <c r="V131" s="5"/>
      <c r="W131" s="5"/>
      <c r="X131" s="5"/>
      <c r="Y131" s="5"/>
      <c r="Z131" s="8"/>
      <c r="AA131" s="7"/>
      <c r="AB131" s="5"/>
      <c r="AC131" s="5"/>
      <c r="AD131" s="5"/>
      <c r="AE131" s="5"/>
      <c r="AF131" s="4"/>
      <c r="AG131" s="7"/>
      <c r="AH131" s="8"/>
      <c r="AI131" s="5"/>
      <c r="AJ131" s="7"/>
      <c r="AK131" s="8"/>
      <c r="AL131" s="9"/>
      <c r="AM131" s="9"/>
      <c r="AN131" s="5"/>
      <c r="AO131" s="5"/>
      <c r="AP131" s="6"/>
    </row>
    <row r="132" spans="10:42" x14ac:dyDescent="0.25">
      <c r="J132" s="2"/>
      <c r="K132" s="6"/>
      <c r="L132" s="6"/>
      <c r="M132" s="7"/>
      <c r="N132" s="8"/>
      <c r="O132" s="5"/>
      <c r="P132" s="7"/>
      <c r="Q132" s="8"/>
      <c r="R132" s="5"/>
      <c r="S132" s="5"/>
      <c r="T132" s="5"/>
      <c r="U132" s="5"/>
      <c r="V132" s="5"/>
      <c r="W132" s="5"/>
      <c r="X132" s="5"/>
      <c r="Y132" s="5"/>
      <c r="Z132" s="8"/>
      <c r="AA132" s="7"/>
      <c r="AB132" s="5"/>
      <c r="AC132" s="5"/>
      <c r="AD132" s="5"/>
      <c r="AE132" s="5"/>
      <c r="AF132" s="4"/>
      <c r="AG132" s="7"/>
      <c r="AH132" s="4"/>
      <c r="AI132" s="5"/>
      <c r="AJ132" s="7"/>
      <c r="AK132" s="8"/>
      <c r="AL132" s="9"/>
      <c r="AM132" s="9"/>
      <c r="AN132" s="5"/>
      <c r="AO132" s="5"/>
      <c r="AP132" s="6"/>
    </row>
    <row r="133" spans="10:42" x14ac:dyDescent="0.25">
      <c r="J133" s="2"/>
      <c r="K133" s="6"/>
      <c r="L133" s="6"/>
      <c r="M133" s="7"/>
      <c r="N133" s="8"/>
      <c r="O133" s="7"/>
      <c r="P133" s="7"/>
      <c r="Q133" s="8"/>
      <c r="R133" s="5"/>
      <c r="S133" s="5"/>
      <c r="T133" s="5"/>
      <c r="U133" s="5"/>
      <c r="V133" s="5"/>
      <c r="W133" s="5"/>
      <c r="X133" s="5"/>
      <c r="Y133" s="5"/>
      <c r="Z133" s="8"/>
      <c r="AA133" s="7"/>
      <c r="AB133" s="5"/>
      <c r="AC133" s="5"/>
      <c r="AD133" s="5"/>
      <c r="AE133" s="5"/>
      <c r="AF133" s="4"/>
      <c r="AG133" s="7"/>
      <c r="AH133" s="8"/>
      <c r="AI133" s="5"/>
      <c r="AJ133" s="7"/>
      <c r="AK133" s="8"/>
      <c r="AL133" s="9"/>
      <c r="AM133" s="9"/>
      <c r="AN133" s="5"/>
      <c r="AO133" s="5"/>
      <c r="AP133" s="6"/>
    </row>
    <row r="134" spans="10:42" x14ac:dyDescent="0.25">
      <c r="J134" s="2"/>
      <c r="K134" s="6"/>
      <c r="L134" s="6"/>
      <c r="M134" s="7"/>
      <c r="N134" s="8"/>
      <c r="O134" s="7"/>
      <c r="P134" s="7"/>
      <c r="Q134" s="8"/>
      <c r="R134" s="5"/>
      <c r="S134" s="5"/>
      <c r="T134" s="5"/>
      <c r="U134" s="5"/>
      <c r="V134" s="5"/>
      <c r="W134" s="5"/>
      <c r="X134" s="5"/>
      <c r="Y134" s="5"/>
      <c r="Z134" s="8"/>
      <c r="AA134" s="7"/>
      <c r="AB134" s="5"/>
      <c r="AC134" s="5"/>
      <c r="AD134" s="5"/>
      <c r="AE134" s="5"/>
      <c r="AF134" s="4"/>
      <c r="AG134" s="7"/>
      <c r="AH134" s="8"/>
      <c r="AI134" s="5"/>
      <c r="AJ134" s="7"/>
      <c r="AK134" s="8"/>
      <c r="AL134" s="9"/>
      <c r="AM134" s="9"/>
      <c r="AN134" s="5"/>
      <c r="AO134" s="5"/>
      <c r="AP134" s="6"/>
    </row>
    <row r="135" spans="10:42" x14ac:dyDescent="0.25">
      <c r="J135" s="2"/>
      <c r="K135" s="6"/>
      <c r="L135" s="6"/>
      <c r="M135" s="7"/>
      <c r="N135" s="8"/>
      <c r="O135" s="7"/>
      <c r="P135" s="7"/>
      <c r="Q135" s="8"/>
      <c r="R135" s="5"/>
      <c r="S135" s="5"/>
      <c r="T135" s="5"/>
      <c r="U135" s="5"/>
      <c r="V135" s="5"/>
      <c r="W135" s="5"/>
      <c r="X135" s="5"/>
      <c r="Y135" s="5"/>
      <c r="Z135" s="8"/>
      <c r="AA135" s="5"/>
      <c r="AB135" s="5"/>
      <c r="AC135" s="5"/>
      <c r="AD135" s="5"/>
      <c r="AE135" s="5"/>
      <c r="AF135" s="4"/>
      <c r="AG135" s="7"/>
      <c r="AH135" s="4"/>
      <c r="AI135" s="5"/>
      <c r="AJ135" s="7"/>
      <c r="AK135" s="8"/>
      <c r="AL135" s="9"/>
      <c r="AM135" s="9"/>
      <c r="AN135" s="5"/>
      <c r="AO135" s="5"/>
      <c r="AP135" s="6"/>
    </row>
    <row r="136" spans="10:42" x14ac:dyDescent="0.25">
      <c r="J136" s="2"/>
      <c r="K136" s="6"/>
      <c r="L136" s="6"/>
      <c r="M136" s="7"/>
      <c r="N136" s="8"/>
      <c r="O136" s="5"/>
      <c r="P136" s="7"/>
      <c r="Q136" s="8"/>
      <c r="R136" s="5"/>
      <c r="S136" s="5"/>
      <c r="T136" s="5"/>
      <c r="U136" s="5"/>
      <c r="V136" s="5"/>
      <c r="W136" s="5"/>
      <c r="X136" s="5"/>
      <c r="Y136" s="5"/>
      <c r="Z136" s="8"/>
      <c r="AA136" s="7"/>
      <c r="AB136" s="5"/>
      <c r="AC136" s="5"/>
      <c r="AD136" s="5"/>
      <c r="AE136" s="5"/>
      <c r="AF136" s="4"/>
      <c r="AG136" s="7"/>
      <c r="AH136" s="8"/>
      <c r="AI136" s="5"/>
      <c r="AJ136" s="7"/>
      <c r="AK136" s="8"/>
      <c r="AL136" s="9"/>
      <c r="AM136" s="9"/>
      <c r="AN136" s="5"/>
      <c r="AO136" s="5"/>
      <c r="AP136" s="6"/>
    </row>
    <row r="137" spans="10:42" x14ac:dyDescent="0.25">
      <c r="J137" s="2"/>
      <c r="K137" s="6"/>
      <c r="L137" s="6"/>
      <c r="M137" s="7"/>
      <c r="N137" s="4"/>
      <c r="O137" s="7"/>
      <c r="P137" s="5"/>
      <c r="Q137" s="8"/>
      <c r="R137" s="5"/>
      <c r="S137" s="5"/>
      <c r="T137" s="5"/>
      <c r="U137" s="5"/>
      <c r="V137" s="5"/>
      <c r="W137" s="5"/>
      <c r="X137" s="5"/>
      <c r="Y137" s="5"/>
      <c r="Z137" s="8"/>
      <c r="AA137" s="7"/>
      <c r="AB137" s="5"/>
      <c r="AC137" s="5"/>
      <c r="AD137" s="5"/>
      <c r="AE137" s="5"/>
      <c r="AF137" s="4"/>
      <c r="AG137" s="7"/>
      <c r="AH137" s="4"/>
      <c r="AI137" s="5"/>
      <c r="AJ137" s="7"/>
      <c r="AK137" s="8"/>
      <c r="AL137" s="9"/>
      <c r="AM137" s="9"/>
      <c r="AN137" s="5"/>
      <c r="AO137" s="5"/>
      <c r="AP137" s="6"/>
    </row>
    <row r="138" spans="10:42" x14ac:dyDescent="0.25">
      <c r="J138" s="2"/>
      <c r="K138" s="6"/>
      <c r="L138" s="6"/>
      <c r="M138" s="7"/>
      <c r="N138" s="8"/>
      <c r="O138" s="7"/>
      <c r="P138" s="7"/>
      <c r="Q138" s="8"/>
      <c r="R138" s="5"/>
      <c r="S138" s="5"/>
      <c r="T138" s="5"/>
      <c r="U138" s="5"/>
      <c r="V138" s="5"/>
      <c r="W138" s="5"/>
      <c r="X138" s="5"/>
      <c r="Y138" s="5"/>
      <c r="Z138" s="8"/>
      <c r="AA138" s="7"/>
      <c r="AB138" s="5"/>
      <c r="AC138" s="5"/>
      <c r="AD138" s="5"/>
      <c r="AE138" s="5"/>
      <c r="AF138" s="4"/>
      <c r="AG138" s="7"/>
      <c r="AH138" s="8"/>
      <c r="AI138" s="5"/>
      <c r="AJ138" s="7"/>
      <c r="AK138" s="8"/>
      <c r="AL138" s="9"/>
      <c r="AM138" s="9"/>
      <c r="AN138" s="5"/>
      <c r="AO138" s="5"/>
      <c r="AP138" s="6"/>
    </row>
    <row r="139" spans="10:42" x14ac:dyDescent="0.25">
      <c r="J139" s="2"/>
      <c r="K139" s="6"/>
      <c r="L139" s="6"/>
      <c r="M139" s="7"/>
      <c r="N139" s="8"/>
      <c r="O139" s="7"/>
      <c r="P139" s="7"/>
      <c r="Q139" s="8"/>
      <c r="R139" s="5"/>
      <c r="S139" s="5"/>
      <c r="T139" s="5"/>
      <c r="U139" s="5"/>
      <c r="V139" s="5"/>
      <c r="W139" s="5"/>
      <c r="X139" s="5"/>
      <c r="Y139" s="5"/>
      <c r="Z139" s="8"/>
      <c r="AA139" s="7"/>
      <c r="AB139" s="5"/>
      <c r="AC139" s="5"/>
      <c r="AD139" s="5"/>
      <c r="AE139" s="5"/>
      <c r="AF139" s="4"/>
      <c r="AG139" s="7"/>
      <c r="AH139" s="8"/>
      <c r="AI139" s="5"/>
      <c r="AJ139" s="7"/>
      <c r="AK139" s="8"/>
      <c r="AL139" s="9"/>
      <c r="AM139" s="9"/>
      <c r="AN139" s="5"/>
      <c r="AO139" s="5"/>
      <c r="AP139" s="6"/>
    </row>
    <row r="140" spans="10:42" x14ac:dyDescent="0.25">
      <c r="J140" s="2"/>
      <c r="K140" s="6"/>
      <c r="L140" s="6"/>
      <c r="M140" s="7"/>
      <c r="N140" s="8"/>
      <c r="O140" s="5"/>
      <c r="P140" s="5"/>
      <c r="Q140" s="8"/>
      <c r="R140" s="5"/>
      <c r="S140" s="5"/>
      <c r="T140" s="5"/>
      <c r="U140" s="5"/>
      <c r="V140" s="5"/>
      <c r="W140" s="5"/>
      <c r="X140" s="5"/>
      <c r="Y140" s="5"/>
      <c r="Z140" s="8"/>
      <c r="AA140" s="7"/>
      <c r="AB140" s="5"/>
      <c r="AC140" s="5"/>
      <c r="AD140" s="5"/>
      <c r="AE140" s="5"/>
      <c r="AF140" s="4"/>
      <c r="AG140" s="7"/>
      <c r="AI140" s="5"/>
      <c r="AJ140" s="7"/>
      <c r="AK140" s="8"/>
      <c r="AL140" s="9"/>
      <c r="AM140" s="9"/>
      <c r="AN140" s="5"/>
      <c r="AO140" s="5"/>
      <c r="AP140" s="6"/>
    </row>
    <row r="141" spans="10:42" x14ac:dyDescent="0.25">
      <c r="J141" s="2"/>
      <c r="K141" s="6"/>
      <c r="L141" s="6"/>
      <c r="M141" s="7"/>
      <c r="N141" s="8"/>
      <c r="O141" s="7"/>
      <c r="P141" s="7"/>
      <c r="Q141" s="8"/>
      <c r="R141" s="5"/>
      <c r="S141" s="5"/>
      <c r="T141" s="5"/>
      <c r="U141" s="5"/>
      <c r="V141" s="5"/>
      <c r="W141" s="5"/>
      <c r="X141" s="5"/>
      <c r="Y141" s="5"/>
      <c r="Z141" s="8"/>
      <c r="AA141" s="7"/>
      <c r="AB141" s="5"/>
      <c r="AC141" s="5"/>
      <c r="AD141" s="5"/>
      <c r="AE141" s="5"/>
      <c r="AF141" s="4"/>
      <c r="AG141" s="7"/>
      <c r="AH141" s="8"/>
      <c r="AI141" s="5"/>
      <c r="AJ141" s="7"/>
      <c r="AK141" s="8"/>
      <c r="AL141" s="9"/>
      <c r="AM141" s="9"/>
      <c r="AN141" s="5"/>
      <c r="AO141" s="5"/>
      <c r="AP141" s="6"/>
    </row>
    <row r="142" spans="10:42" x14ac:dyDescent="0.25">
      <c r="J142" s="2"/>
      <c r="K142" s="6"/>
      <c r="L142" s="6"/>
      <c r="M142" s="7"/>
      <c r="N142" s="8"/>
      <c r="O142" s="7"/>
      <c r="P142" s="7"/>
      <c r="Q142" s="8"/>
      <c r="R142" s="5"/>
      <c r="S142" s="5"/>
      <c r="T142" s="5"/>
      <c r="U142" s="5"/>
      <c r="V142" s="5"/>
      <c r="W142" s="5"/>
      <c r="X142" s="5"/>
      <c r="Y142" s="5"/>
      <c r="Z142" s="8"/>
      <c r="AA142" s="7"/>
      <c r="AB142" s="5"/>
      <c r="AC142" s="5"/>
      <c r="AD142" s="5"/>
      <c r="AE142" s="5"/>
      <c r="AF142" s="4"/>
      <c r="AG142" s="7"/>
      <c r="AH142" s="8"/>
      <c r="AI142" s="5"/>
      <c r="AJ142" s="7"/>
      <c r="AK142" s="8"/>
      <c r="AL142" s="9"/>
      <c r="AM142" s="9"/>
      <c r="AN142" s="5"/>
      <c r="AO142" s="5"/>
      <c r="AP142" s="6"/>
    </row>
    <row r="143" spans="10:42" x14ac:dyDescent="0.25">
      <c r="J143" s="2"/>
      <c r="K143" s="6"/>
      <c r="L143" s="6"/>
      <c r="M143" s="7"/>
      <c r="N143" s="8"/>
      <c r="O143" s="7"/>
      <c r="P143" s="7"/>
      <c r="Q143" s="8"/>
      <c r="R143" s="5"/>
      <c r="S143" s="5"/>
      <c r="T143" s="5"/>
      <c r="U143" s="5"/>
      <c r="V143" s="5"/>
      <c r="W143" s="5"/>
      <c r="X143" s="5"/>
      <c r="Y143" s="5"/>
      <c r="Z143" s="8"/>
      <c r="AA143" s="7"/>
      <c r="AB143" s="5"/>
      <c r="AC143" s="5"/>
      <c r="AD143" s="5"/>
      <c r="AE143" s="5"/>
      <c r="AF143" s="4"/>
      <c r="AG143" s="7"/>
      <c r="AH143" s="8"/>
      <c r="AI143" s="5"/>
      <c r="AJ143" s="7"/>
      <c r="AK143" s="8"/>
      <c r="AL143" s="9"/>
      <c r="AM143" s="9"/>
      <c r="AN143" s="5"/>
      <c r="AO143" s="5"/>
      <c r="AP143" s="6"/>
    </row>
    <row r="144" spans="10:42" x14ac:dyDescent="0.25">
      <c r="J144" s="2"/>
      <c r="K144" s="6"/>
      <c r="L144" s="6"/>
      <c r="M144" s="7"/>
      <c r="N144" s="8"/>
      <c r="O144" s="7"/>
      <c r="P144" s="7"/>
      <c r="Q144" s="8"/>
      <c r="R144" s="5"/>
      <c r="S144" s="5"/>
      <c r="T144" s="5"/>
      <c r="U144" s="5"/>
      <c r="V144" s="5"/>
      <c r="W144" s="5"/>
      <c r="X144" s="5"/>
      <c r="Y144" s="5"/>
      <c r="Z144" s="8"/>
      <c r="AA144" s="7"/>
      <c r="AB144" s="5"/>
      <c r="AC144" s="5"/>
      <c r="AD144" s="5"/>
      <c r="AE144" s="5"/>
      <c r="AF144" s="4"/>
      <c r="AG144" s="7"/>
      <c r="AH144" s="8"/>
      <c r="AI144" s="5"/>
      <c r="AJ144" s="7"/>
      <c r="AK144" s="8"/>
      <c r="AL144" s="9"/>
      <c r="AM144" s="9"/>
      <c r="AN144" s="5"/>
      <c r="AO144" s="5"/>
      <c r="AP144" s="6"/>
    </row>
    <row r="145" spans="10:42" x14ac:dyDescent="0.25">
      <c r="J145" s="2"/>
      <c r="K145" s="6"/>
      <c r="L145" s="6"/>
      <c r="M145" s="5"/>
      <c r="N145" s="8"/>
      <c r="O145" s="5"/>
      <c r="P145" s="5"/>
      <c r="Q145" s="8"/>
      <c r="R145" s="5"/>
      <c r="S145" s="5"/>
      <c r="T145" s="5"/>
      <c r="U145" s="5"/>
      <c r="V145" s="5"/>
      <c r="W145" s="5"/>
      <c r="X145" s="5"/>
      <c r="Y145" s="5"/>
      <c r="Z145" s="8"/>
      <c r="AA145" s="5"/>
      <c r="AB145" s="5"/>
      <c r="AC145" s="5"/>
      <c r="AD145" s="5"/>
      <c r="AE145" s="5"/>
      <c r="AF145" s="4"/>
      <c r="AG145" s="7"/>
      <c r="AI145" s="5"/>
      <c r="AJ145" s="7"/>
      <c r="AK145" s="8"/>
      <c r="AL145" s="9"/>
      <c r="AM145" s="9"/>
      <c r="AN145" s="5"/>
      <c r="AO145" s="5"/>
      <c r="AP145" s="6"/>
    </row>
    <row r="146" spans="10:42" x14ac:dyDescent="0.25">
      <c r="J146" s="2"/>
      <c r="K146" s="6"/>
      <c r="L146" s="6"/>
      <c r="M146" s="7"/>
      <c r="N146" s="8"/>
      <c r="O146" s="7"/>
      <c r="P146" s="7"/>
      <c r="Q146" s="8"/>
      <c r="R146" s="5"/>
      <c r="S146" s="5"/>
      <c r="T146" s="5"/>
      <c r="U146" s="5"/>
      <c r="V146" s="5"/>
      <c r="W146" s="5"/>
      <c r="X146" s="5"/>
      <c r="Y146" s="5"/>
      <c r="Z146" s="8"/>
      <c r="AA146" s="7"/>
      <c r="AB146" s="5"/>
      <c r="AC146" s="5"/>
      <c r="AD146" s="5"/>
      <c r="AE146" s="5"/>
      <c r="AF146" s="4"/>
      <c r="AG146" s="7"/>
      <c r="AH146" s="4"/>
      <c r="AI146" s="5"/>
      <c r="AJ146" s="7"/>
      <c r="AK146" s="8"/>
      <c r="AL146" s="9"/>
      <c r="AM146" s="9"/>
      <c r="AN146" s="5"/>
      <c r="AO146" s="5"/>
      <c r="AP146" s="6"/>
    </row>
    <row r="147" spans="10:42" x14ac:dyDescent="0.25">
      <c r="J147" s="2"/>
      <c r="K147" s="6"/>
      <c r="L147" s="6"/>
      <c r="M147" s="7"/>
      <c r="N147" s="8"/>
      <c r="O147" s="7"/>
      <c r="P147" s="7"/>
      <c r="Q147" s="8"/>
      <c r="R147" s="5"/>
      <c r="S147" s="5"/>
      <c r="T147" s="5"/>
      <c r="U147" s="5"/>
      <c r="V147" s="5"/>
      <c r="W147" s="5"/>
      <c r="X147" s="5"/>
      <c r="Y147" s="5"/>
      <c r="Z147" s="8"/>
      <c r="AA147" s="7"/>
      <c r="AB147" s="5"/>
      <c r="AC147" s="5"/>
      <c r="AD147" s="5"/>
      <c r="AE147" s="5"/>
      <c r="AF147" s="4"/>
      <c r="AG147" s="7"/>
      <c r="AH147" s="8"/>
      <c r="AI147" s="5"/>
      <c r="AJ147" s="7"/>
      <c r="AK147" s="8"/>
      <c r="AL147" s="9"/>
      <c r="AM147" s="9"/>
      <c r="AN147" s="5"/>
      <c r="AO147" s="5"/>
      <c r="AP147" s="6"/>
    </row>
    <row r="148" spans="10:42" x14ac:dyDescent="0.25">
      <c r="J148" s="2"/>
      <c r="K148" s="6"/>
      <c r="L148" s="6"/>
      <c r="M148" s="7"/>
      <c r="N148" s="8"/>
      <c r="O148" s="7"/>
      <c r="P148" s="7"/>
      <c r="Q148" s="8"/>
      <c r="R148" s="5"/>
      <c r="S148" s="5"/>
      <c r="T148" s="5"/>
      <c r="U148" s="5"/>
      <c r="V148" s="5"/>
      <c r="W148" s="5"/>
      <c r="X148" s="5"/>
      <c r="Y148" s="5"/>
      <c r="Z148" s="8"/>
      <c r="AA148" s="7"/>
      <c r="AB148" s="5"/>
      <c r="AC148" s="5"/>
      <c r="AD148" s="5"/>
      <c r="AE148" s="5"/>
      <c r="AF148" s="4"/>
      <c r="AG148" s="7"/>
      <c r="AH148" s="8"/>
      <c r="AI148" s="5"/>
      <c r="AJ148" s="7"/>
      <c r="AK148" s="8"/>
      <c r="AL148" s="9"/>
      <c r="AM148" s="9"/>
      <c r="AN148" s="5"/>
      <c r="AO148" s="5"/>
      <c r="AP148" s="6"/>
    </row>
    <row r="149" spans="10:42" x14ac:dyDescent="0.25">
      <c r="J149" s="2"/>
      <c r="K149" s="6"/>
      <c r="L149" s="6"/>
      <c r="M149" s="7"/>
      <c r="N149" s="8"/>
      <c r="O149" s="7"/>
      <c r="P149" s="7"/>
      <c r="Q149" s="8"/>
      <c r="R149" s="5"/>
      <c r="S149" s="5"/>
      <c r="T149" s="5"/>
      <c r="U149" s="5"/>
      <c r="V149" s="5"/>
      <c r="W149" s="5"/>
      <c r="X149" s="5"/>
      <c r="Y149" s="5"/>
      <c r="Z149" s="8"/>
      <c r="AA149" s="7"/>
      <c r="AB149" s="5"/>
      <c r="AC149" s="5"/>
      <c r="AD149" s="5"/>
      <c r="AE149" s="5"/>
      <c r="AF149" s="4"/>
      <c r="AG149" s="7"/>
      <c r="AH149" s="8"/>
      <c r="AI149" s="5"/>
      <c r="AJ149" s="7"/>
      <c r="AK149" s="8"/>
      <c r="AL149" s="9"/>
      <c r="AM149" s="9"/>
      <c r="AN149" s="5"/>
      <c r="AO149" s="5"/>
      <c r="AP149" s="6"/>
    </row>
    <row r="150" spans="10:42" x14ac:dyDescent="0.25">
      <c r="J150" s="2"/>
      <c r="K150" s="6"/>
      <c r="L150" s="6"/>
      <c r="M150" s="7"/>
      <c r="N150" s="8"/>
      <c r="O150" s="7"/>
      <c r="P150" s="5"/>
      <c r="Q150" s="8"/>
      <c r="R150" s="5"/>
      <c r="S150" s="5"/>
      <c r="T150" s="5"/>
      <c r="U150" s="5"/>
      <c r="V150" s="5"/>
      <c r="W150" s="5"/>
      <c r="X150" s="5"/>
      <c r="Y150" s="5"/>
      <c r="Z150" s="8"/>
      <c r="AA150" s="7"/>
      <c r="AB150" s="5"/>
      <c r="AC150" s="5"/>
      <c r="AD150" s="5"/>
      <c r="AE150" s="5"/>
      <c r="AF150" s="4"/>
      <c r="AG150" s="7"/>
      <c r="AH150" s="4"/>
      <c r="AI150" s="5"/>
      <c r="AJ150" s="7"/>
      <c r="AK150" s="8"/>
      <c r="AL150" s="9"/>
      <c r="AM150" s="9"/>
      <c r="AN150" s="5"/>
      <c r="AO150" s="5"/>
      <c r="AP150" s="6"/>
    </row>
    <row r="151" spans="10:42" x14ac:dyDescent="0.25">
      <c r="J151" s="2"/>
      <c r="K151" s="6"/>
      <c r="L151" s="6"/>
      <c r="M151" s="7"/>
      <c r="N151" s="8"/>
      <c r="O151" s="7"/>
      <c r="P151" s="7"/>
      <c r="Q151" s="4"/>
      <c r="R151" s="5"/>
      <c r="S151" s="5"/>
      <c r="T151" s="5"/>
      <c r="U151" s="5"/>
      <c r="V151" s="5"/>
      <c r="W151" s="5"/>
      <c r="X151" s="5"/>
      <c r="Y151" s="5"/>
      <c r="Z151" s="8"/>
      <c r="AA151" s="7"/>
      <c r="AB151" s="5"/>
      <c r="AC151" s="5"/>
      <c r="AD151" s="5"/>
      <c r="AE151" s="5"/>
      <c r="AF151" s="4"/>
      <c r="AG151" s="7"/>
      <c r="AH151" s="4"/>
      <c r="AI151" s="5"/>
      <c r="AJ151" s="7"/>
      <c r="AK151" s="8"/>
      <c r="AL151" s="9"/>
      <c r="AM151" s="9"/>
      <c r="AN151" s="5"/>
      <c r="AO151" s="5"/>
      <c r="AP151" s="6"/>
    </row>
    <row r="152" spans="10:42" x14ac:dyDescent="0.25">
      <c r="J152" s="2"/>
      <c r="K152" s="6"/>
      <c r="L152" s="6"/>
      <c r="M152" s="7"/>
      <c r="N152" s="8"/>
      <c r="O152" s="7"/>
      <c r="P152" s="7"/>
      <c r="Q152" s="8"/>
      <c r="R152" s="5"/>
      <c r="S152" s="5"/>
      <c r="T152" s="5"/>
      <c r="U152" s="5"/>
      <c r="V152" s="5"/>
      <c r="W152" s="5"/>
      <c r="X152" s="5"/>
      <c r="Y152" s="5"/>
      <c r="Z152" s="8"/>
      <c r="AA152" s="7"/>
      <c r="AB152" s="5"/>
      <c r="AC152" s="5"/>
      <c r="AD152" s="5"/>
      <c r="AE152" s="5"/>
      <c r="AF152" s="4"/>
      <c r="AG152" s="7"/>
      <c r="AH152" s="8"/>
      <c r="AI152" s="5"/>
      <c r="AJ152" s="7"/>
      <c r="AK152" s="8"/>
      <c r="AL152" s="9"/>
      <c r="AM152" s="9"/>
      <c r="AN152" s="5"/>
      <c r="AO152" s="5"/>
      <c r="AP152" s="6"/>
    </row>
    <row r="153" spans="10:42" x14ac:dyDescent="0.25">
      <c r="J153" s="2"/>
      <c r="K153" s="6"/>
      <c r="L153" s="6"/>
      <c r="M153" s="7"/>
      <c r="N153" s="8"/>
      <c r="O153" s="5"/>
      <c r="P153" s="7"/>
      <c r="Q153" s="8"/>
      <c r="R153" s="5"/>
      <c r="S153" s="5"/>
      <c r="T153" s="5"/>
      <c r="U153" s="5"/>
      <c r="V153" s="5"/>
      <c r="W153" s="5"/>
      <c r="X153" s="5"/>
      <c r="Y153" s="5"/>
      <c r="Z153" s="8"/>
      <c r="AA153" s="7"/>
      <c r="AB153" s="5"/>
      <c r="AC153" s="5"/>
      <c r="AD153" s="5"/>
      <c r="AE153" s="5"/>
      <c r="AF153" s="4"/>
      <c r="AG153" s="7"/>
      <c r="AH153" s="8"/>
      <c r="AI153" s="5"/>
      <c r="AJ153" s="7"/>
      <c r="AK153" s="8"/>
      <c r="AL153" s="9"/>
      <c r="AM153" s="9"/>
      <c r="AN153" s="5"/>
      <c r="AO153" s="5"/>
      <c r="AP153" s="6"/>
    </row>
    <row r="154" spans="10:42" x14ac:dyDescent="0.25">
      <c r="J154" s="2"/>
      <c r="K154" s="6"/>
      <c r="L154" s="6"/>
      <c r="M154" s="7"/>
      <c r="N154" s="8"/>
      <c r="O154" s="7"/>
      <c r="P154" s="7"/>
      <c r="Q154" s="8"/>
      <c r="R154" s="5"/>
      <c r="S154" s="5"/>
      <c r="T154" s="5"/>
      <c r="U154" s="5"/>
      <c r="V154" s="5"/>
      <c r="W154" s="5"/>
      <c r="X154" s="5"/>
      <c r="Y154" s="5"/>
      <c r="Z154" s="8"/>
      <c r="AA154" s="7"/>
      <c r="AB154" s="5"/>
      <c r="AC154" s="5"/>
      <c r="AD154" s="5"/>
      <c r="AE154" s="5"/>
      <c r="AF154" s="4"/>
      <c r="AG154" s="7"/>
      <c r="AH154" s="8"/>
      <c r="AI154" s="5"/>
      <c r="AJ154" s="7"/>
      <c r="AK154" s="8"/>
      <c r="AL154" s="9"/>
      <c r="AM154" s="9"/>
      <c r="AN154" s="5"/>
      <c r="AO154" s="5"/>
      <c r="AP154" s="6"/>
    </row>
    <row r="155" spans="10:42" x14ac:dyDescent="0.25">
      <c r="J155" s="2"/>
      <c r="K155" s="6"/>
      <c r="L155" s="6"/>
      <c r="M155" s="7"/>
      <c r="N155" s="8"/>
      <c r="O155" s="7"/>
      <c r="P155" s="5"/>
      <c r="Q155" s="8"/>
      <c r="R155" s="5"/>
      <c r="S155" s="5"/>
      <c r="T155" s="5"/>
      <c r="U155" s="5"/>
      <c r="V155" s="5"/>
      <c r="W155" s="5"/>
      <c r="X155" s="5"/>
      <c r="Y155" s="5"/>
      <c r="Z155" s="8"/>
      <c r="AA155" s="7"/>
      <c r="AB155" s="5"/>
      <c r="AC155" s="5"/>
      <c r="AD155" s="5"/>
      <c r="AE155" s="5"/>
      <c r="AF155" s="4"/>
      <c r="AG155" s="7"/>
      <c r="AH155" s="4"/>
      <c r="AI155" s="5"/>
      <c r="AJ155" s="7"/>
      <c r="AK155" s="8"/>
      <c r="AL155" s="9"/>
      <c r="AM155" s="9"/>
      <c r="AN155" s="5"/>
      <c r="AO155" s="5"/>
      <c r="AP155" s="6"/>
    </row>
    <row r="156" spans="10:42" x14ac:dyDescent="0.25">
      <c r="J156" s="2"/>
      <c r="K156" s="6"/>
      <c r="L156" s="6"/>
      <c r="M156" s="7"/>
      <c r="N156" s="8"/>
      <c r="O156" s="7"/>
      <c r="P156" s="7"/>
      <c r="Q156" s="8"/>
      <c r="R156" s="5"/>
      <c r="S156" s="5"/>
      <c r="T156" s="5"/>
      <c r="U156" s="5"/>
      <c r="V156" s="5"/>
      <c r="W156" s="5"/>
      <c r="X156" s="5"/>
      <c r="Y156" s="5"/>
      <c r="Z156" s="8"/>
      <c r="AA156" s="7"/>
      <c r="AB156" s="5"/>
      <c r="AC156" s="5"/>
      <c r="AD156" s="5"/>
      <c r="AE156" s="5"/>
      <c r="AF156" s="4"/>
      <c r="AG156" s="7"/>
      <c r="AH156" s="4"/>
      <c r="AI156" s="5"/>
      <c r="AJ156" s="7"/>
      <c r="AK156" s="8"/>
      <c r="AL156" s="9"/>
      <c r="AM156" s="9"/>
      <c r="AN156" s="5"/>
      <c r="AO156" s="5"/>
      <c r="AP156" s="6"/>
    </row>
    <row r="157" spans="10:42" x14ac:dyDescent="0.25">
      <c r="J157" s="2"/>
      <c r="K157" s="6"/>
      <c r="L157" s="6"/>
      <c r="M157" s="7"/>
      <c r="N157" s="8"/>
      <c r="O157" s="7"/>
      <c r="P157" s="7"/>
      <c r="Q157" s="8"/>
      <c r="R157" s="5"/>
      <c r="S157" s="5"/>
      <c r="T157" s="5"/>
      <c r="U157" s="5"/>
      <c r="V157" s="5"/>
      <c r="W157" s="5"/>
      <c r="X157" s="5"/>
      <c r="Y157" s="5"/>
      <c r="Z157" s="8"/>
      <c r="AA157" s="7"/>
      <c r="AB157" s="5"/>
      <c r="AC157" s="5"/>
      <c r="AD157" s="5"/>
      <c r="AE157" s="5"/>
      <c r="AF157" s="4"/>
      <c r="AG157" s="7"/>
      <c r="AH157" s="4"/>
      <c r="AI157" s="5"/>
      <c r="AJ157" s="7"/>
      <c r="AK157" s="8"/>
      <c r="AL157" s="9"/>
      <c r="AM157" s="9"/>
      <c r="AN157" s="5"/>
      <c r="AO157" s="5"/>
      <c r="AP157" s="6"/>
    </row>
    <row r="158" spans="10:42" x14ac:dyDescent="0.25">
      <c r="J158" s="2"/>
      <c r="K158" s="6"/>
      <c r="L158" s="6"/>
      <c r="M158" s="7"/>
      <c r="N158" s="8"/>
      <c r="O158" s="7"/>
      <c r="P158" s="5"/>
      <c r="Q158" s="8"/>
      <c r="R158" s="5"/>
      <c r="S158" s="5"/>
      <c r="T158" s="5"/>
      <c r="U158" s="5"/>
      <c r="V158" s="5"/>
      <c r="W158" s="5"/>
      <c r="X158" s="5"/>
      <c r="Y158" s="5"/>
      <c r="Z158" s="8"/>
      <c r="AA158" s="7"/>
      <c r="AB158" s="5"/>
      <c r="AC158" s="5"/>
      <c r="AD158" s="5"/>
      <c r="AE158" s="5"/>
      <c r="AF158" s="4"/>
      <c r="AG158" s="7"/>
      <c r="AH158" s="8"/>
      <c r="AI158" s="5"/>
      <c r="AJ158" s="7"/>
      <c r="AK158" s="8"/>
      <c r="AL158" s="9"/>
      <c r="AM158" s="9"/>
      <c r="AN158" s="5"/>
      <c r="AO158" s="5"/>
      <c r="AP158" s="6"/>
    </row>
    <row r="159" spans="10:42" x14ac:dyDescent="0.25">
      <c r="J159" s="2"/>
      <c r="K159" s="6"/>
      <c r="L159" s="6"/>
      <c r="M159" s="7"/>
      <c r="N159" s="8"/>
      <c r="O159" s="7"/>
      <c r="P159" s="7"/>
      <c r="Q159" s="8"/>
      <c r="R159" s="5"/>
      <c r="S159" s="5"/>
      <c r="T159" s="5"/>
      <c r="U159" s="5"/>
      <c r="V159" s="5"/>
      <c r="W159" s="5"/>
      <c r="X159" s="5"/>
      <c r="Y159" s="5"/>
      <c r="Z159" s="8"/>
      <c r="AA159" s="7"/>
      <c r="AB159" s="5"/>
      <c r="AC159" s="5"/>
      <c r="AD159" s="5"/>
      <c r="AE159" s="5"/>
      <c r="AF159" s="4"/>
      <c r="AG159" s="7"/>
      <c r="AH159" s="4"/>
      <c r="AI159" s="5"/>
      <c r="AJ159" s="7"/>
      <c r="AK159" s="8"/>
      <c r="AL159" s="9"/>
      <c r="AM159" s="9"/>
      <c r="AN159" s="5"/>
      <c r="AO159" s="5"/>
      <c r="AP159" s="6"/>
    </row>
    <row r="160" spans="10:42" x14ac:dyDescent="0.25">
      <c r="J160" s="2"/>
      <c r="K160" s="6"/>
      <c r="L160" s="6"/>
      <c r="M160" s="7"/>
      <c r="N160" s="8"/>
      <c r="O160" s="7"/>
      <c r="P160" s="7"/>
      <c r="Q160" s="8"/>
      <c r="R160" s="5"/>
      <c r="S160" s="5"/>
      <c r="T160" s="5"/>
      <c r="U160" s="5"/>
      <c r="V160" s="5"/>
      <c r="W160" s="5"/>
      <c r="X160" s="5"/>
      <c r="Y160" s="5"/>
      <c r="Z160" s="8"/>
      <c r="AA160" s="5"/>
      <c r="AB160" s="5"/>
      <c r="AC160" s="5"/>
      <c r="AD160" s="5"/>
      <c r="AE160" s="5"/>
      <c r="AF160" s="4"/>
      <c r="AG160" s="7"/>
      <c r="AH160" s="4"/>
      <c r="AI160" s="5"/>
      <c r="AJ160" s="7"/>
      <c r="AK160" s="8"/>
      <c r="AL160" s="9"/>
      <c r="AM160" s="9"/>
      <c r="AN160" s="5"/>
      <c r="AO160" s="5"/>
      <c r="AP160" s="6"/>
    </row>
    <row r="161" spans="10:42" x14ac:dyDescent="0.25">
      <c r="J161" s="2"/>
      <c r="K161" s="6"/>
      <c r="L161" s="6"/>
      <c r="M161" s="7"/>
      <c r="N161" s="8"/>
      <c r="O161" s="5"/>
      <c r="P161" s="7"/>
      <c r="Q161" s="8"/>
      <c r="R161" s="5"/>
      <c r="S161" s="5"/>
      <c r="T161" s="5"/>
      <c r="U161" s="5"/>
      <c r="V161" s="5"/>
      <c r="W161" s="5"/>
      <c r="X161" s="5"/>
      <c r="Y161" s="5"/>
      <c r="Z161" s="8"/>
      <c r="AA161" s="7"/>
      <c r="AB161" s="5"/>
      <c r="AC161" s="5"/>
      <c r="AD161" s="5"/>
      <c r="AE161" s="5"/>
      <c r="AF161" s="4"/>
      <c r="AG161" s="7"/>
      <c r="AH161" s="4"/>
      <c r="AI161" s="5"/>
      <c r="AJ161" s="7"/>
      <c r="AK161" s="8"/>
      <c r="AL161" s="9"/>
      <c r="AM161" s="9"/>
      <c r="AN161" s="5"/>
      <c r="AO161" s="5"/>
      <c r="AP161" s="6"/>
    </row>
    <row r="162" spans="10:42" x14ac:dyDescent="0.25">
      <c r="J162" s="2"/>
      <c r="K162" s="6"/>
      <c r="L162" s="6"/>
      <c r="M162" s="7"/>
      <c r="N162" s="8"/>
      <c r="O162" s="7"/>
      <c r="P162" s="7"/>
      <c r="Q162" s="8"/>
      <c r="R162" s="5"/>
      <c r="S162" s="5"/>
      <c r="T162" s="5"/>
      <c r="U162" s="5"/>
      <c r="V162" s="5"/>
      <c r="W162" s="5"/>
      <c r="X162" s="5"/>
      <c r="Y162" s="5"/>
      <c r="Z162" s="8"/>
      <c r="AA162" s="7"/>
      <c r="AB162" s="5"/>
      <c r="AC162" s="5"/>
      <c r="AD162" s="5"/>
      <c r="AE162" s="5"/>
      <c r="AF162" s="4"/>
      <c r="AG162" s="7"/>
      <c r="AH162" s="8"/>
      <c r="AI162" s="5"/>
      <c r="AJ162" s="7"/>
      <c r="AK162" s="8"/>
      <c r="AL162" s="9"/>
      <c r="AM162" s="9"/>
      <c r="AN162" s="5"/>
      <c r="AO162" s="5"/>
      <c r="AP162" s="6"/>
    </row>
    <row r="163" spans="10:42" x14ac:dyDescent="0.25">
      <c r="J163" s="2"/>
      <c r="K163" s="6"/>
      <c r="L163" s="6"/>
      <c r="M163" s="7"/>
      <c r="N163" s="8"/>
      <c r="O163" s="5"/>
      <c r="P163" s="7"/>
      <c r="Q163" s="8"/>
      <c r="R163" s="5"/>
      <c r="S163" s="5"/>
      <c r="T163" s="5"/>
      <c r="U163" s="5"/>
      <c r="V163" s="5"/>
      <c r="W163" s="5"/>
      <c r="X163" s="5"/>
      <c r="Y163" s="5"/>
      <c r="Z163" s="8"/>
      <c r="AA163" s="7"/>
      <c r="AB163" s="5"/>
      <c r="AC163" s="5"/>
      <c r="AD163" s="5"/>
      <c r="AE163" s="5"/>
      <c r="AF163" s="4"/>
      <c r="AG163" s="7"/>
      <c r="AH163" s="8"/>
      <c r="AI163" s="5"/>
      <c r="AJ163" s="7"/>
      <c r="AK163" s="8"/>
      <c r="AL163" s="9"/>
      <c r="AM163" s="9"/>
      <c r="AN163" s="5"/>
      <c r="AO163" s="5"/>
      <c r="AP163" s="6"/>
    </row>
    <row r="164" spans="10:42" x14ac:dyDescent="0.25">
      <c r="J164" s="2"/>
      <c r="K164" s="6"/>
      <c r="L164" s="6"/>
      <c r="M164" s="7"/>
      <c r="N164" s="8"/>
      <c r="O164" s="7"/>
      <c r="P164" s="7"/>
      <c r="Q164" s="8"/>
      <c r="R164" s="5"/>
      <c r="S164" s="5"/>
      <c r="T164" s="5"/>
      <c r="U164" s="5"/>
      <c r="V164" s="5"/>
      <c r="W164" s="5"/>
      <c r="X164" s="5"/>
      <c r="Y164" s="5"/>
      <c r="Z164" s="8"/>
      <c r="AA164" s="7"/>
      <c r="AB164" s="5"/>
      <c r="AC164" s="5"/>
      <c r="AD164" s="5"/>
      <c r="AE164" s="5"/>
      <c r="AF164" s="4"/>
      <c r="AG164" s="7"/>
      <c r="AH164" s="4"/>
      <c r="AI164" s="5"/>
      <c r="AJ164" s="7"/>
      <c r="AK164" s="8"/>
      <c r="AL164" s="9"/>
      <c r="AM164" s="9"/>
      <c r="AN164" s="5"/>
      <c r="AO164" s="5"/>
      <c r="AP164" s="6"/>
    </row>
    <row r="165" spans="10:42" x14ac:dyDescent="0.25">
      <c r="J165" s="2"/>
      <c r="K165" s="6"/>
      <c r="L165" s="6"/>
      <c r="M165" s="7"/>
      <c r="N165" s="8"/>
      <c r="O165" s="7"/>
      <c r="P165" s="7"/>
      <c r="Q165" s="8"/>
      <c r="R165" s="5"/>
      <c r="S165" s="5"/>
      <c r="T165" s="5"/>
      <c r="U165" s="5"/>
      <c r="V165" s="5"/>
      <c r="W165" s="5"/>
      <c r="X165" s="5"/>
      <c r="Y165" s="5"/>
      <c r="Z165" s="8"/>
      <c r="AA165" s="7"/>
      <c r="AB165" s="5"/>
      <c r="AC165" s="5"/>
      <c r="AD165" s="5"/>
      <c r="AE165" s="5"/>
      <c r="AF165" s="4"/>
      <c r="AG165" s="7"/>
      <c r="AH165" s="4"/>
      <c r="AI165" s="5"/>
      <c r="AJ165" s="7"/>
      <c r="AK165" s="8"/>
      <c r="AL165" s="9"/>
      <c r="AM165" s="9"/>
      <c r="AN165" s="5"/>
      <c r="AO165" s="5"/>
      <c r="AP165" s="6"/>
    </row>
    <row r="166" spans="10:42" x14ac:dyDescent="0.25">
      <c r="J166" s="2"/>
      <c r="K166" s="6"/>
      <c r="L166" s="6"/>
      <c r="M166" s="7"/>
      <c r="N166" s="8"/>
      <c r="O166" s="5"/>
      <c r="P166" s="7"/>
      <c r="Q166" s="8"/>
      <c r="R166" s="5"/>
      <c r="S166" s="5"/>
      <c r="T166" s="5"/>
      <c r="U166" s="5"/>
      <c r="V166" s="5"/>
      <c r="W166" s="5"/>
      <c r="X166" s="5"/>
      <c r="Y166" s="5"/>
      <c r="Z166" s="8"/>
      <c r="AA166" s="7"/>
      <c r="AB166" s="5"/>
      <c r="AC166" s="5"/>
      <c r="AD166" s="5"/>
      <c r="AE166" s="5"/>
      <c r="AF166" s="4"/>
      <c r="AG166" s="7"/>
      <c r="AH166" s="4"/>
      <c r="AI166" s="5"/>
      <c r="AJ166" s="7"/>
      <c r="AK166" s="8"/>
      <c r="AL166" s="9"/>
      <c r="AM166" s="9"/>
      <c r="AN166" s="5"/>
      <c r="AO166" s="5"/>
      <c r="AP166" s="6"/>
    </row>
    <row r="167" spans="10:42" x14ac:dyDescent="0.25">
      <c r="J167" s="2"/>
      <c r="K167" s="6"/>
      <c r="L167" s="6"/>
      <c r="M167" s="7"/>
      <c r="N167" s="8"/>
      <c r="O167" s="7"/>
      <c r="P167" s="7"/>
      <c r="Q167" s="8"/>
      <c r="R167" s="5"/>
      <c r="S167" s="5"/>
      <c r="T167" s="5"/>
      <c r="U167" s="5"/>
      <c r="V167" s="5"/>
      <c r="W167" s="5"/>
      <c r="X167" s="5"/>
      <c r="Y167" s="5"/>
      <c r="Z167" s="8"/>
      <c r="AA167" s="7"/>
      <c r="AB167" s="5"/>
      <c r="AC167" s="5"/>
      <c r="AD167" s="5"/>
      <c r="AE167" s="5"/>
      <c r="AF167" s="4"/>
      <c r="AG167" s="7"/>
      <c r="AH167" s="8"/>
      <c r="AI167" s="5"/>
      <c r="AJ167" s="7"/>
      <c r="AK167" s="8"/>
      <c r="AL167" s="9"/>
      <c r="AM167" s="9"/>
      <c r="AN167" s="5"/>
      <c r="AO167" s="5"/>
      <c r="AP167" s="6"/>
    </row>
    <row r="168" spans="10:42" x14ac:dyDescent="0.25">
      <c r="J168" s="2"/>
      <c r="K168" s="6"/>
      <c r="L168" s="6"/>
      <c r="M168" s="7"/>
      <c r="N168" s="8"/>
      <c r="O168" s="5"/>
      <c r="P168" s="7"/>
      <c r="Q168" s="8"/>
      <c r="R168" s="5"/>
      <c r="S168" s="5"/>
      <c r="T168" s="5"/>
      <c r="U168" s="5"/>
      <c r="V168" s="5"/>
      <c r="W168" s="5"/>
      <c r="X168" s="5"/>
      <c r="Y168" s="5"/>
      <c r="Z168" s="8"/>
      <c r="AA168" s="7"/>
      <c r="AB168" s="5"/>
      <c r="AC168" s="5"/>
      <c r="AD168" s="5"/>
      <c r="AE168" s="5"/>
      <c r="AF168" s="4"/>
      <c r="AG168" s="7"/>
      <c r="AH168" s="4"/>
      <c r="AI168" s="5"/>
      <c r="AJ168" s="7"/>
      <c r="AK168" s="8"/>
      <c r="AL168" s="9"/>
      <c r="AM168" s="9"/>
      <c r="AN168" s="5"/>
      <c r="AO168" s="5"/>
      <c r="AP168" s="6"/>
    </row>
    <row r="169" spans="10:42" x14ac:dyDescent="0.25">
      <c r="J169" s="2"/>
      <c r="K169" s="6"/>
      <c r="L169" s="6"/>
      <c r="M169" s="7"/>
      <c r="N169" s="8"/>
      <c r="O169" s="7"/>
      <c r="P169" s="7"/>
      <c r="Q169" s="8"/>
      <c r="R169" s="5"/>
      <c r="S169" s="5"/>
      <c r="T169" s="5"/>
      <c r="U169" s="5"/>
      <c r="V169" s="5"/>
      <c r="W169" s="5"/>
      <c r="X169" s="5"/>
      <c r="Y169" s="5"/>
      <c r="Z169" s="8"/>
      <c r="AA169" s="7"/>
      <c r="AB169" s="5"/>
      <c r="AC169" s="5"/>
      <c r="AD169" s="5"/>
      <c r="AE169" s="5"/>
      <c r="AF169" s="4"/>
      <c r="AG169" s="7"/>
      <c r="AH169" s="4"/>
      <c r="AI169" s="5"/>
      <c r="AJ169" s="7"/>
      <c r="AK169" s="8"/>
      <c r="AL169" s="9"/>
      <c r="AM169" s="9"/>
      <c r="AN169" s="5"/>
      <c r="AO169" s="5"/>
      <c r="AP169" s="6"/>
    </row>
    <row r="170" spans="10:42" x14ac:dyDescent="0.25">
      <c r="J170" s="2"/>
      <c r="K170" s="6"/>
      <c r="L170" s="6"/>
      <c r="M170" s="7"/>
      <c r="N170" s="8"/>
      <c r="O170" s="7"/>
      <c r="P170" s="5"/>
      <c r="Q170" s="8"/>
      <c r="R170" s="5"/>
      <c r="S170" s="5"/>
      <c r="T170" s="5"/>
      <c r="U170" s="5"/>
      <c r="V170" s="5"/>
      <c r="W170" s="5"/>
      <c r="X170" s="5"/>
      <c r="Y170" s="5"/>
      <c r="Z170" s="8"/>
      <c r="AA170" s="7"/>
      <c r="AB170" s="5"/>
      <c r="AC170" s="5"/>
      <c r="AD170" s="5"/>
      <c r="AE170" s="5"/>
      <c r="AF170" s="4"/>
      <c r="AG170" s="7"/>
      <c r="AH170" s="4"/>
      <c r="AI170" s="5"/>
      <c r="AJ170" s="7"/>
      <c r="AK170" s="8"/>
      <c r="AL170" s="9"/>
      <c r="AM170" s="2"/>
      <c r="AN170" s="5"/>
      <c r="AO170" s="5"/>
      <c r="AP170" s="6"/>
    </row>
    <row r="171" spans="10:42" x14ac:dyDescent="0.25">
      <c r="J171" s="2"/>
      <c r="K171" s="6"/>
      <c r="L171" s="6"/>
      <c r="M171" s="7"/>
      <c r="N171" s="8"/>
      <c r="O171" s="5"/>
      <c r="P171" s="5"/>
      <c r="Q171" s="8"/>
      <c r="R171" s="5"/>
      <c r="S171" s="5"/>
      <c r="T171" s="5"/>
      <c r="U171" s="5"/>
      <c r="V171" s="5"/>
      <c r="W171" s="5"/>
      <c r="X171" s="5"/>
      <c r="Y171" s="5"/>
      <c r="Z171" s="8"/>
      <c r="AA171" s="7"/>
      <c r="AB171" s="5"/>
      <c r="AC171" s="5"/>
      <c r="AD171" s="5"/>
      <c r="AE171" s="5"/>
      <c r="AF171" s="4"/>
      <c r="AG171" s="7"/>
      <c r="AH171" s="4"/>
      <c r="AI171" s="5"/>
      <c r="AJ171" s="7"/>
      <c r="AK171" s="8"/>
      <c r="AL171" s="9"/>
      <c r="AM171" s="9"/>
      <c r="AN171" s="5"/>
      <c r="AO171" s="5"/>
      <c r="AP171" s="6"/>
    </row>
    <row r="172" spans="10:42" x14ac:dyDescent="0.25">
      <c r="J172" s="2"/>
      <c r="K172" s="6"/>
      <c r="L172" s="6"/>
      <c r="M172" s="7"/>
      <c r="N172" s="8"/>
      <c r="O172" s="7"/>
      <c r="P172" s="7"/>
      <c r="Q172" s="8"/>
      <c r="R172" s="5"/>
      <c r="S172" s="5"/>
      <c r="T172" s="5"/>
      <c r="U172" s="5"/>
      <c r="V172" s="5"/>
      <c r="W172" s="5"/>
      <c r="X172" s="5"/>
      <c r="Y172" s="5"/>
      <c r="Z172" s="8"/>
      <c r="AA172" s="7"/>
      <c r="AB172" s="5"/>
      <c r="AC172" s="5"/>
      <c r="AD172" s="5"/>
      <c r="AE172" s="5"/>
      <c r="AF172" s="4"/>
      <c r="AG172" s="7"/>
      <c r="AH172" s="4"/>
      <c r="AI172" s="5"/>
      <c r="AJ172" s="7"/>
      <c r="AK172" s="8"/>
      <c r="AL172" s="9"/>
      <c r="AM172" s="9"/>
      <c r="AN172" s="5"/>
      <c r="AO172" s="5"/>
      <c r="AP172" s="6"/>
    </row>
    <row r="173" spans="10:42" x14ac:dyDescent="0.25">
      <c r="J173" s="2"/>
      <c r="K173" s="6"/>
      <c r="L173" s="6"/>
      <c r="M173" s="7"/>
      <c r="N173" s="8"/>
      <c r="O173" s="7"/>
      <c r="P173" s="7"/>
      <c r="Q173" s="8"/>
      <c r="R173" s="5"/>
      <c r="S173" s="5"/>
      <c r="T173" s="5"/>
      <c r="U173" s="5"/>
      <c r="V173" s="5"/>
      <c r="W173" s="5"/>
      <c r="X173" s="5"/>
      <c r="Y173" s="5"/>
      <c r="Z173" s="8"/>
      <c r="AA173" s="7"/>
      <c r="AB173" s="5"/>
      <c r="AC173" s="5"/>
      <c r="AD173" s="5"/>
      <c r="AE173" s="5"/>
      <c r="AF173" s="4"/>
      <c r="AG173" s="7"/>
      <c r="AH173" s="4"/>
      <c r="AI173" s="5"/>
      <c r="AJ173" s="7"/>
      <c r="AK173" s="8"/>
      <c r="AL173" s="9"/>
      <c r="AM173" s="9"/>
      <c r="AN173" s="5"/>
      <c r="AO173" s="5"/>
      <c r="AP173" s="6"/>
    </row>
    <row r="174" spans="10:42" x14ac:dyDescent="0.25">
      <c r="J174" s="2"/>
      <c r="K174" s="3"/>
      <c r="L174" s="6"/>
      <c r="M174" s="7"/>
      <c r="N174" s="8"/>
      <c r="O174" s="7"/>
      <c r="P174" s="7"/>
      <c r="Q174" s="8"/>
      <c r="R174" s="5"/>
      <c r="S174" s="5"/>
      <c r="T174" s="5"/>
      <c r="U174" s="5"/>
      <c r="V174" s="5"/>
      <c r="W174" s="5"/>
      <c r="X174" s="5"/>
      <c r="Y174" s="5"/>
      <c r="Z174" s="8"/>
      <c r="AA174" s="7"/>
      <c r="AB174" s="5"/>
      <c r="AC174" s="5"/>
      <c r="AD174" s="5"/>
      <c r="AE174" s="5"/>
      <c r="AF174" s="4"/>
      <c r="AG174" s="7"/>
      <c r="AH174" s="8"/>
      <c r="AI174" s="5"/>
      <c r="AJ174" s="7"/>
      <c r="AK174" s="8"/>
      <c r="AL174" s="9"/>
      <c r="AM174" s="9"/>
      <c r="AN174" s="5"/>
      <c r="AO174" s="5"/>
      <c r="AP174" s="6"/>
    </row>
    <row r="175" spans="10:42" x14ac:dyDescent="0.25">
      <c r="J175" s="2"/>
      <c r="K175" s="6"/>
      <c r="L175" s="6"/>
      <c r="M175" s="5"/>
      <c r="N175" s="4"/>
      <c r="O175" s="5"/>
      <c r="P175" s="5"/>
      <c r="Q175" s="8"/>
      <c r="R175" s="5"/>
      <c r="S175" s="5"/>
      <c r="T175" s="5"/>
      <c r="U175" s="5"/>
      <c r="V175" s="5"/>
      <c r="W175" s="5"/>
      <c r="X175" s="5"/>
      <c r="Y175" s="5"/>
      <c r="Z175" s="8"/>
      <c r="AA175" s="5"/>
      <c r="AB175" s="5"/>
      <c r="AC175" s="5"/>
      <c r="AD175" s="5"/>
      <c r="AE175" s="5"/>
      <c r="AF175" s="4"/>
      <c r="AG175" s="7"/>
      <c r="AI175" s="5"/>
      <c r="AJ175" s="7"/>
      <c r="AK175" s="4"/>
      <c r="AL175" s="9"/>
      <c r="AM175" s="9"/>
      <c r="AN175" s="5"/>
      <c r="AO175" s="5"/>
      <c r="AP175" s="6"/>
    </row>
    <row r="176" spans="10:42" x14ac:dyDescent="0.25">
      <c r="J176" s="2"/>
      <c r="K176" s="6"/>
      <c r="L176" s="6"/>
      <c r="M176" s="7"/>
      <c r="N176" s="8"/>
      <c r="O176" s="7"/>
      <c r="P176" s="7"/>
      <c r="Q176" s="8"/>
      <c r="R176" s="5"/>
      <c r="S176" s="5"/>
      <c r="T176" s="5"/>
      <c r="U176" s="5"/>
      <c r="V176" s="5"/>
      <c r="W176" s="5"/>
      <c r="X176" s="5"/>
      <c r="Y176" s="5"/>
      <c r="Z176" s="8"/>
      <c r="AA176" s="5"/>
      <c r="AB176" s="5"/>
      <c r="AC176" s="5"/>
      <c r="AD176" s="5"/>
      <c r="AE176" s="5"/>
      <c r="AF176" s="4"/>
      <c r="AG176" s="7"/>
      <c r="AH176" s="4"/>
      <c r="AI176" s="5"/>
      <c r="AJ176" s="7"/>
      <c r="AK176" s="8"/>
      <c r="AL176" s="9"/>
      <c r="AM176" s="9"/>
      <c r="AN176" s="5"/>
      <c r="AO176" s="5"/>
      <c r="AP176" s="6"/>
    </row>
    <row r="177" spans="10:42" x14ac:dyDescent="0.25">
      <c r="J177" s="2"/>
      <c r="K177" s="6"/>
      <c r="L177" s="6"/>
      <c r="M177" s="7"/>
      <c r="N177" s="8"/>
      <c r="O177" s="7"/>
      <c r="P177" s="7"/>
      <c r="Q177" s="8"/>
      <c r="R177" s="5"/>
      <c r="S177" s="5"/>
      <c r="T177" s="5"/>
      <c r="U177" s="5"/>
      <c r="V177" s="5"/>
      <c r="W177" s="5"/>
      <c r="X177" s="5"/>
      <c r="Y177" s="5"/>
      <c r="Z177" s="8"/>
      <c r="AA177" s="7"/>
      <c r="AB177" s="5"/>
      <c r="AC177" s="5"/>
      <c r="AD177" s="5"/>
      <c r="AE177" s="5"/>
      <c r="AF177" s="4"/>
      <c r="AG177" s="7"/>
      <c r="AH177" s="4"/>
      <c r="AI177" s="5"/>
      <c r="AJ177" s="7"/>
      <c r="AK177" s="8"/>
      <c r="AL177" s="9"/>
      <c r="AM177" s="9"/>
      <c r="AN177" s="5"/>
      <c r="AO177" s="5"/>
      <c r="AP177" s="6"/>
    </row>
    <row r="178" spans="10:42" x14ac:dyDescent="0.25">
      <c r="J178" s="2"/>
      <c r="K178" s="6"/>
      <c r="L178" s="6"/>
      <c r="M178" s="5"/>
      <c r="N178" s="8"/>
      <c r="O178" s="5"/>
      <c r="P178" s="5"/>
      <c r="Q178" s="8"/>
      <c r="R178" s="5"/>
      <c r="S178" s="5"/>
      <c r="T178" s="5"/>
      <c r="U178" s="5"/>
      <c r="V178" s="5"/>
      <c r="W178" s="5"/>
      <c r="X178" s="5"/>
      <c r="Y178" s="5"/>
      <c r="Z178" s="8"/>
      <c r="AA178" s="5"/>
      <c r="AB178" s="5"/>
      <c r="AC178" s="5"/>
      <c r="AD178" s="5"/>
      <c r="AE178" s="5"/>
      <c r="AF178" s="4"/>
      <c r="AG178" s="7"/>
      <c r="AH178" s="4"/>
      <c r="AI178" s="5"/>
      <c r="AJ178" s="7"/>
      <c r="AK178" s="8"/>
      <c r="AL178" s="9"/>
      <c r="AM178" s="9"/>
      <c r="AN178" s="5"/>
      <c r="AO178" s="5"/>
      <c r="AP178" s="6"/>
    </row>
    <row r="179" spans="10:42" x14ac:dyDescent="0.25">
      <c r="J179" s="2"/>
      <c r="K179" s="6"/>
      <c r="L179" s="6"/>
      <c r="M179" s="7"/>
      <c r="N179" s="8"/>
      <c r="O179" s="7"/>
      <c r="P179" s="7"/>
      <c r="Q179" s="8"/>
      <c r="R179" s="5"/>
      <c r="S179" s="5"/>
      <c r="T179" s="5"/>
      <c r="U179" s="5"/>
      <c r="V179" s="5"/>
      <c r="W179" s="5"/>
      <c r="X179" s="5"/>
      <c r="Y179" s="5"/>
      <c r="Z179" s="8"/>
      <c r="AA179" s="7"/>
      <c r="AB179" s="5"/>
      <c r="AC179" s="5"/>
      <c r="AD179" s="5"/>
      <c r="AE179" s="5"/>
      <c r="AF179" s="4"/>
      <c r="AG179" s="7"/>
      <c r="AH179" s="4"/>
      <c r="AI179" s="5"/>
      <c r="AJ179" s="7"/>
      <c r="AK179" s="8"/>
      <c r="AL179" s="9"/>
      <c r="AM179" s="9"/>
      <c r="AN179" s="5"/>
      <c r="AO179" s="5"/>
      <c r="AP179" s="6"/>
    </row>
    <row r="180" spans="10:42" x14ac:dyDescent="0.25">
      <c r="J180" s="2"/>
      <c r="K180" s="6"/>
      <c r="L180" s="6"/>
      <c r="M180" s="5"/>
      <c r="N180" s="8"/>
      <c r="O180" s="7"/>
      <c r="P180" s="5"/>
      <c r="Q180" s="8"/>
      <c r="R180" s="5"/>
      <c r="S180" s="5"/>
      <c r="T180" s="5"/>
      <c r="U180" s="5"/>
      <c r="V180" s="5"/>
      <c r="W180" s="5"/>
      <c r="X180" s="5"/>
      <c r="Y180" s="5"/>
      <c r="Z180" s="8"/>
      <c r="AA180" s="5"/>
      <c r="AB180" s="5"/>
      <c r="AC180" s="5"/>
      <c r="AD180" s="5"/>
      <c r="AE180" s="5"/>
      <c r="AF180" s="4"/>
      <c r="AG180" s="7"/>
      <c r="AH180" s="4"/>
      <c r="AI180" s="5"/>
      <c r="AJ180" s="7"/>
      <c r="AK180" s="8"/>
      <c r="AL180" s="9"/>
      <c r="AM180" s="2"/>
      <c r="AN180" s="5"/>
      <c r="AO180" s="5"/>
      <c r="AP180" s="6"/>
    </row>
    <row r="181" spans="10:42" x14ac:dyDescent="0.25">
      <c r="J181" s="2"/>
      <c r="K181" s="6"/>
      <c r="L181" s="3"/>
      <c r="M181" s="7"/>
      <c r="N181" s="8"/>
      <c r="O181" s="5"/>
      <c r="P181" s="5"/>
      <c r="Q181" s="8"/>
      <c r="R181" s="5"/>
      <c r="S181" s="5"/>
      <c r="T181" s="5"/>
      <c r="U181" s="5"/>
      <c r="V181" s="5"/>
      <c r="W181" s="5"/>
      <c r="X181" s="5"/>
      <c r="Y181" s="5"/>
      <c r="Z181" s="8"/>
      <c r="AA181" s="7"/>
      <c r="AB181" s="5"/>
      <c r="AC181" s="5"/>
      <c r="AD181" s="5"/>
      <c r="AE181" s="5"/>
      <c r="AF181" s="4"/>
      <c r="AG181" s="7"/>
      <c r="AI181" s="5"/>
      <c r="AJ181" s="7"/>
      <c r="AK181" s="8"/>
      <c r="AL181" s="9"/>
      <c r="AM181" s="9"/>
      <c r="AN181" s="5"/>
      <c r="AO181" s="5"/>
      <c r="AP181" s="6"/>
    </row>
    <row r="182" spans="10:42" x14ac:dyDescent="0.25">
      <c r="J182" s="2"/>
      <c r="K182" s="6"/>
      <c r="L182" s="6"/>
      <c r="M182" s="7"/>
      <c r="N182" s="8"/>
      <c r="O182" s="7"/>
      <c r="P182" s="5"/>
      <c r="Q182" s="8"/>
      <c r="R182" s="5"/>
      <c r="S182" s="5"/>
      <c r="T182" s="5"/>
      <c r="U182" s="5"/>
      <c r="V182" s="5"/>
      <c r="W182" s="5"/>
      <c r="X182" s="5"/>
      <c r="Y182" s="5"/>
      <c r="Z182" s="8"/>
      <c r="AA182" s="7"/>
      <c r="AB182" s="5"/>
      <c r="AC182" s="5"/>
      <c r="AD182" s="5"/>
      <c r="AE182" s="5"/>
      <c r="AF182" s="4"/>
      <c r="AG182" s="7"/>
      <c r="AH182" s="8"/>
      <c r="AI182" s="5"/>
      <c r="AJ182" s="7"/>
      <c r="AK182" s="8"/>
      <c r="AL182" s="9"/>
      <c r="AM182" s="9"/>
      <c r="AN182" s="5"/>
      <c r="AO182" s="5"/>
      <c r="AP182" s="6"/>
    </row>
    <row r="183" spans="10:42" x14ac:dyDescent="0.25">
      <c r="J183" s="2"/>
      <c r="K183" s="6"/>
      <c r="L183" s="6"/>
      <c r="M183" s="7"/>
      <c r="N183" s="8"/>
      <c r="O183" s="5"/>
      <c r="P183" s="5"/>
      <c r="Q183" s="8"/>
      <c r="R183" s="5"/>
      <c r="S183" s="5"/>
      <c r="T183" s="5"/>
      <c r="U183" s="5"/>
      <c r="V183" s="5"/>
      <c r="W183" s="5"/>
      <c r="X183" s="5"/>
      <c r="Y183" s="5"/>
      <c r="Z183" s="8"/>
      <c r="AA183" s="7"/>
      <c r="AB183" s="5"/>
      <c r="AC183" s="5"/>
      <c r="AD183" s="5"/>
      <c r="AE183" s="5"/>
      <c r="AF183" s="4"/>
      <c r="AG183" s="7"/>
      <c r="AH183" s="8"/>
      <c r="AI183" s="5"/>
      <c r="AJ183" s="7"/>
      <c r="AK183" s="8"/>
      <c r="AL183" s="9"/>
      <c r="AM183" s="9"/>
      <c r="AN183" s="5"/>
      <c r="AO183" s="5"/>
      <c r="AP183" s="6"/>
    </row>
    <row r="184" spans="10:42" x14ac:dyDescent="0.25">
      <c r="J184" s="2"/>
      <c r="K184" s="6"/>
      <c r="L184" s="6"/>
      <c r="M184" s="7"/>
      <c r="N184" s="8"/>
      <c r="O184" s="7"/>
      <c r="P184" s="7"/>
      <c r="Q184" s="8"/>
      <c r="R184" s="5"/>
      <c r="S184" s="5"/>
      <c r="T184" s="5"/>
      <c r="U184" s="5"/>
      <c r="V184" s="5"/>
      <c r="W184" s="5"/>
      <c r="X184" s="5"/>
      <c r="Y184" s="5"/>
      <c r="Z184" s="8"/>
      <c r="AA184" s="7"/>
      <c r="AB184" s="5"/>
      <c r="AC184" s="5"/>
      <c r="AD184" s="5"/>
      <c r="AE184" s="5"/>
      <c r="AF184" s="4"/>
      <c r="AG184" s="7"/>
      <c r="AH184" s="8"/>
      <c r="AI184" s="5"/>
      <c r="AJ184" s="7"/>
      <c r="AK184" s="8"/>
      <c r="AL184" s="9"/>
      <c r="AM184" s="9"/>
      <c r="AN184" s="5"/>
      <c r="AO184" s="5"/>
      <c r="AP184" s="6"/>
    </row>
    <row r="185" spans="10:42" x14ac:dyDescent="0.25">
      <c r="J185" s="2"/>
      <c r="K185" s="6"/>
      <c r="L185" s="6"/>
      <c r="M185" s="5"/>
      <c r="N185" s="8"/>
      <c r="O185" s="5"/>
      <c r="P185" s="5"/>
      <c r="Q185" s="8"/>
      <c r="R185" s="5"/>
      <c r="S185" s="5"/>
      <c r="T185" s="5"/>
      <c r="U185" s="5"/>
      <c r="V185" s="5"/>
      <c r="W185" s="5"/>
      <c r="X185" s="5"/>
      <c r="Y185" s="5"/>
      <c r="Z185" s="8"/>
      <c r="AA185" s="5"/>
      <c r="AB185" s="5"/>
      <c r="AC185" s="5"/>
      <c r="AD185" s="5"/>
      <c r="AE185" s="5"/>
      <c r="AF185" s="4"/>
      <c r="AG185" s="7"/>
      <c r="AI185" s="5"/>
      <c r="AJ185" s="7"/>
      <c r="AK185" s="8"/>
      <c r="AL185" s="9"/>
      <c r="AM185" s="2"/>
      <c r="AN185" s="5"/>
      <c r="AO185" s="5"/>
      <c r="AP185" s="6"/>
    </row>
    <row r="186" spans="10:42" x14ac:dyDescent="0.25">
      <c r="J186" s="2"/>
      <c r="K186" s="3"/>
      <c r="L186" s="6"/>
      <c r="M186" s="7"/>
      <c r="N186" s="8"/>
      <c r="O186" s="5"/>
      <c r="P186" s="7"/>
      <c r="Q186" s="8"/>
      <c r="R186" s="5"/>
      <c r="S186" s="5"/>
      <c r="T186" s="5"/>
      <c r="U186" s="5"/>
      <c r="V186" s="5"/>
      <c r="W186" s="5"/>
      <c r="X186" s="5"/>
      <c r="Y186" s="5"/>
      <c r="Z186" s="8"/>
      <c r="AA186" s="5"/>
      <c r="AB186" s="5"/>
      <c r="AC186" s="5"/>
      <c r="AD186" s="5"/>
      <c r="AE186" s="5"/>
      <c r="AF186" s="4"/>
      <c r="AG186" s="7"/>
      <c r="AH186" s="4"/>
      <c r="AI186" s="5"/>
      <c r="AJ186" s="7"/>
      <c r="AK186" s="8"/>
      <c r="AL186" s="9"/>
      <c r="AM186" s="9"/>
      <c r="AN186" s="5"/>
      <c r="AO186" s="5"/>
      <c r="AP186" s="6"/>
    </row>
    <row r="187" spans="10:42" x14ac:dyDescent="0.25">
      <c r="J187" s="2"/>
      <c r="K187" s="6"/>
      <c r="L187" s="6"/>
      <c r="M187" s="5"/>
      <c r="N187" s="8"/>
      <c r="O187" s="5"/>
      <c r="P187" s="5"/>
      <c r="Q187" s="8"/>
      <c r="R187" s="5"/>
      <c r="S187" s="5"/>
      <c r="T187" s="5"/>
      <c r="U187" s="5"/>
      <c r="V187" s="5"/>
      <c r="W187" s="5"/>
      <c r="X187" s="5"/>
      <c r="Y187" s="5"/>
      <c r="Z187" s="8"/>
      <c r="AA187" s="5"/>
      <c r="AB187" s="5"/>
      <c r="AC187" s="5"/>
      <c r="AD187" s="5"/>
      <c r="AE187" s="5"/>
      <c r="AF187" s="4"/>
      <c r="AG187" s="7"/>
      <c r="AI187" s="5"/>
      <c r="AJ187" s="7"/>
      <c r="AK187" s="8"/>
      <c r="AL187" s="9"/>
      <c r="AM187" s="2"/>
      <c r="AN187" s="5"/>
      <c r="AO187" s="5"/>
      <c r="AP187" s="6"/>
    </row>
    <row r="188" spans="10:42" x14ac:dyDescent="0.25">
      <c r="J188" s="2"/>
      <c r="K188" s="6"/>
      <c r="L188" s="6"/>
      <c r="M188" s="5"/>
      <c r="N188" s="8"/>
      <c r="O188" s="5"/>
      <c r="P188" s="5"/>
      <c r="Q188" s="8"/>
      <c r="R188" s="5"/>
      <c r="S188" s="5"/>
      <c r="T188" s="5"/>
      <c r="U188" s="5"/>
      <c r="V188" s="5"/>
      <c r="W188" s="5"/>
      <c r="X188" s="5"/>
      <c r="Y188" s="5"/>
      <c r="Z188" s="8"/>
      <c r="AA188" s="5"/>
      <c r="AB188" s="5"/>
      <c r="AC188" s="5"/>
      <c r="AD188" s="5"/>
      <c r="AE188" s="5"/>
      <c r="AF188" s="4"/>
      <c r="AG188" s="7"/>
      <c r="AI188" s="5"/>
      <c r="AJ188" s="7"/>
      <c r="AK188" s="8"/>
      <c r="AL188" s="9"/>
      <c r="AM188" s="9"/>
      <c r="AN188" s="5"/>
      <c r="AO188" s="5"/>
      <c r="AP188" s="6"/>
    </row>
    <row r="189" spans="10:42" x14ac:dyDescent="0.25">
      <c r="J189" s="2"/>
      <c r="K189" s="6"/>
      <c r="L189" s="6"/>
      <c r="M189" s="7"/>
      <c r="N189" s="8"/>
      <c r="O189" s="7"/>
      <c r="P189" s="5"/>
      <c r="Q189" s="8"/>
      <c r="R189" s="5"/>
      <c r="S189" s="5"/>
      <c r="T189" s="5"/>
      <c r="U189" s="5"/>
      <c r="V189" s="5"/>
      <c r="W189" s="5"/>
      <c r="X189" s="5"/>
      <c r="Y189" s="5"/>
      <c r="Z189" s="8"/>
      <c r="AA189" s="7"/>
      <c r="AB189" s="5"/>
      <c r="AC189" s="5"/>
      <c r="AD189" s="5"/>
      <c r="AE189" s="5"/>
      <c r="AF189" s="4"/>
      <c r="AG189" s="7"/>
      <c r="AH189" s="8"/>
      <c r="AI189" s="5"/>
      <c r="AJ189" s="7"/>
      <c r="AK189" s="8"/>
      <c r="AL189" s="9"/>
      <c r="AM189" s="9"/>
      <c r="AN189" s="5"/>
      <c r="AO189" s="5"/>
      <c r="AP189" s="6"/>
    </row>
    <row r="190" spans="10:42" x14ac:dyDescent="0.25">
      <c r="J190" s="2"/>
      <c r="K190" s="6"/>
      <c r="L190" s="6"/>
      <c r="M190" s="5"/>
      <c r="N190" s="8"/>
      <c r="O190" s="5"/>
      <c r="P190" s="5"/>
      <c r="Q190" s="8"/>
      <c r="R190" s="5"/>
      <c r="S190" s="5"/>
      <c r="T190" s="5"/>
      <c r="U190" s="5"/>
      <c r="V190" s="5"/>
      <c r="W190" s="5"/>
      <c r="X190" s="5"/>
      <c r="Y190" s="5"/>
      <c r="Z190" s="8"/>
      <c r="AA190" s="5"/>
      <c r="AB190" s="5"/>
      <c r="AC190" s="5"/>
      <c r="AD190" s="5"/>
      <c r="AE190" s="5"/>
      <c r="AF190" s="4"/>
      <c r="AG190" s="7"/>
      <c r="AI190" s="5"/>
      <c r="AJ190" s="7"/>
      <c r="AK190" s="8"/>
      <c r="AL190" s="9"/>
      <c r="AM190" s="2"/>
      <c r="AN190" s="5"/>
      <c r="AO190" s="5"/>
      <c r="AP190" s="6"/>
    </row>
    <row r="191" spans="10:42" x14ac:dyDescent="0.25">
      <c r="J191" s="2"/>
      <c r="K191" s="6"/>
      <c r="L191" s="6"/>
      <c r="M191" s="7"/>
      <c r="N191" s="8"/>
      <c r="O191" s="5"/>
      <c r="P191" s="5"/>
      <c r="Q191" s="8"/>
      <c r="R191" s="5"/>
      <c r="S191" s="5"/>
      <c r="T191" s="5"/>
      <c r="U191" s="5"/>
      <c r="V191" s="5"/>
      <c r="W191" s="5"/>
      <c r="X191" s="5"/>
      <c r="Y191" s="5"/>
      <c r="Z191" s="8"/>
      <c r="AA191" s="7"/>
      <c r="AB191" s="5"/>
      <c r="AC191" s="5"/>
      <c r="AD191" s="5"/>
      <c r="AE191" s="5"/>
      <c r="AF191" s="4"/>
      <c r="AG191" s="7"/>
      <c r="AH191" s="4"/>
      <c r="AI191" s="5"/>
      <c r="AJ191" s="7"/>
      <c r="AK191" s="8"/>
      <c r="AL191" s="9"/>
      <c r="AM191" s="9"/>
      <c r="AN191" s="5"/>
      <c r="AO191" s="5"/>
      <c r="AP191" s="6"/>
    </row>
    <row r="192" spans="10:42" x14ac:dyDescent="0.25">
      <c r="J192" s="2"/>
      <c r="K192" s="6"/>
      <c r="L192" s="6"/>
      <c r="M192" s="5"/>
      <c r="N192" s="8"/>
      <c r="O192" s="7"/>
      <c r="P192" s="5"/>
      <c r="Q192" s="8"/>
      <c r="R192" s="5"/>
      <c r="S192" s="5"/>
      <c r="T192" s="5"/>
      <c r="U192" s="5"/>
      <c r="V192" s="5"/>
      <c r="W192" s="5"/>
      <c r="X192" s="5"/>
      <c r="Y192" s="5"/>
      <c r="Z192" s="8"/>
      <c r="AA192" s="5"/>
      <c r="AB192" s="5"/>
      <c r="AC192" s="5"/>
      <c r="AD192" s="5"/>
      <c r="AE192" s="5"/>
      <c r="AF192" s="4"/>
      <c r="AG192" s="7"/>
      <c r="AH192" s="4"/>
      <c r="AI192" s="5"/>
      <c r="AJ192" s="7"/>
      <c r="AK192" s="8"/>
      <c r="AL192" s="9"/>
      <c r="AM192" s="2"/>
      <c r="AN192" s="5"/>
      <c r="AO192" s="5"/>
      <c r="AP192" s="6"/>
    </row>
    <row r="193" spans="10:42" x14ac:dyDescent="0.25">
      <c r="J193" s="2"/>
      <c r="K193" s="6"/>
      <c r="L193" s="6"/>
      <c r="M193" s="5"/>
      <c r="N193" s="8"/>
      <c r="O193" s="7"/>
      <c r="P193" s="5"/>
      <c r="Q193" s="8"/>
      <c r="R193" s="5"/>
      <c r="S193" s="5"/>
      <c r="T193" s="5"/>
      <c r="U193" s="5"/>
      <c r="V193" s="5"/>
      <c r="W193" s="5"/>
      <c r="X193" s="5"/>
      <c r="Y193" s="5"/>
      <c r="Z193" s="8"/>
      <c r="AA193" s="5"/>
      <c r="AB193" s="5"/>
      <c r="AC193" s="5"/>
      <c r="AD193" s="5"/>
      <c r="AE193" s="5"/>
      <c r="AF193" s="4"/>
      <c r="AG193" s="7"/>
      <c r="AH193" s="4"/>
      <c r="AI193" s="5"/>
      <c r="AJ193" s="7"/>
      <c r="AK193" s="8"/>
      <c r="AL193" s="9"/>
      <c r="AM193" s="2"/>
      <c r="AN193" s="5"/>
      <c r="AO193" s="5"/>
      <c r="AP193" s="6"/>
    </row>
    <row r="194" spans="10:42" x14ac:dyDescent="0.25">
      <c r="J194" s="2"/>
      <c r="K194" s="6"/>
      <c r="L194" s="6"/>
      <c r="M194" s="7"/>
      <c r="N194" s="8"/>
      <c r="O194" s="7"/>
      <c r="P194" s="7"/>
      <c r="Q194" s="8"/>
      <c r="R194" s="5"/>
      <c r="S194" s="5"/>
      <c r="T194" s="5"/>
      <c r="U194" s="5"/>
      <c r="V194" s="5"/>
      <c r="W194" s="5"/>
      <c r="X194" s="5"/>
      <c r="Y194" s="5"/>
      <c r="Z194" s="8"/>
      <c r="AA194" s="5"/>
      <c r="AB194" s="5"/>
      <c r="AC194" s="5"/>
      <c r="AD194" s="5"/>
      <c r="AE194" s="5"/>
      <c r="AF194" s="4"/>
      <c r="AG194" s="7"/>
      <c r="AH194" s="4"/>
      <c r="AI194" s="5"/>
      <c r="AJ194" s="7"/>
      <c r="AK194" s="8"/>
      <c r="AL194" s="9"/>
      <c r="AM194" s="9"/>
      <c r="AN194" s="5"/>
      <c r="AO194" s="5"/>
      <c r="AP194" s="6"/>
    </row>
    <row r="195" spans="10:42" x14ac:dyDescent="0.25">
      <c r="J195" s="2"/>
      <c r="K195" s="6"/>
      <c r="L195" s="6"/>
      <c r="M195" s="5"/>
      <c r="N195" s="8"/>
      <c r="O195" s="5"/>
      <c r="P195" s="5"/>
      <c r="Q195" s="8"/>
      <c r="R195" s="5"/>
      <c r="S195" s="5"/>
      <c r="T195" s="5"/>
      <c r="U195" s="5"/>
      <c r="V195" s="5"/>
      <c r="W195" s="5"/>
      <c r="X195" s="5"/>
      <c r="Y195" s="5"/>
      <c r="Z195" s="8"/>
      <c r="AA195" s="5"/>
      <c r="AB195" s="5"/>
      <c r="AC195" s="5"/>
      <c r="AD195" s="5"/>
      <c r="AE195" s="5"/>
      <c r="AF195" s="4"/>
      <c r="AG195" s="7"/>
      <c r="AI195" s="5"/>
      <c r="AJ195" s="7"/>
      <c r="AK195" s="8"/>
      <c r="AL195" s="9"/>
      <c r="AM195" s="2"/>
      <c r="AN195" s="5"/>
      <c r="AO195" s="5"/>
      <c r="AP195" s="6"/>
    </row>
    <row r="196" spans="10:42" x14ac:dyDescent="0.25">
      <c r="J196" s="2"/>
      <c r="K196" s="6"/>
      <c r="L196" s="6"/>
      <c r="M196" s="5"/>
      <c r="N196" s="8"/>
      <c r="O196" s="5"/>
      <c r="P196" s="5"/>
      <c r="Q196" s="8"/>
      <c r="R196" s="5"/>
      <c r="S196" s="5"/>
      <c r="T196" s="5"/>
      <c r="U196" s="5"/>
      <c r="V196" s="5"/>
      <c r="W196" s="5"/>
      <c r="X196" s="5"/>
      <c r="Y196" s="5"/>
      <c r="Z196" s="8"/>
      <c r="AA196" s="5"/>
      <c r="AB196" s="5"/>
      <c r="AC196" s="5"/>
      <c r="AD196" s="5"/>
      <c r="AE196" s="5"/>
      <c r="AF196" s="4"/>
      <c r="AG196" s="7"/>
      <c r="AI196" s="5"/>
      <c r="AJ196" s="7"/>
      <c r="AK196" s="8"/>
      <c r="AL196" s="9"/>
      <c r="AM196" s="9"/>
      <c r="AN196" s="5"/>
      <c r="AO196" s="5"/>
      <c r="AP196" s="6"/>
    </row>
    <row r="197" spans="10:42" x14ac:dyDescent="0.25">
      <c r="J197" s="2"/>
      <c r="K197" s="6"/>
      <c r="L197" s="6"/>
      <c r="M197" s="7"/>
      <c r="N197" s="8"/>
      <c r="O197" s="7"/>
      <c r="P197" s="7"/>
      <c r="Q197" s="8"/>
      <c r="R197" s="5"/>
      <c r="S197" s="5"/>
      <c r="T197" s="5"/>
      <c r="U197" s="5"/>
      <c r="V197" s="5"/>
      <c r="W197" s="5"/>
      <c r="X197" s="5"/>
      <c r="Y197" s="5"/>
      <c r="Z197" s="8"/>
      <c r="AA197" s="5"/>
      <c r="AB197" s="5"/>
      <c r="AC197" s="5"/>
      <c r="AD197" s="5"/>
      <c r="AE197" s="5"/>
      <c r="AF197" s="4"/>
      <c r="AG197" s="7"/>
      <c r="AH197" s="4"/>
      <c r="AI197" s="5"/>
      <c r="AJ197" s="7"/>
      <c r="AK197" s="8"/>
      <c r="AL197" s="9"/>
      <c r="AM197" s="2"/>
      <c r="AN197" s="5"/>
      <c r="AO197" s="5"/>
      <c r="AP197" s="6"/>
    </row>
    <row r="198" spans="10:42" x14ac:dyDescent="0.25">
      <c r="J198" s="2"/>
      <c r="K198" s="6"/>
      <c r="L198" s="6"/>
      <c r="M198" s="5"/>
      <c r="N198" s="8"/>
      <c r="O198" s="5"/>
      <c r="P198" s="5"/>
      <c r="Q198" s="8"/>
      <c r="R198" s="5"/>
      <c r="S198" s="5"/>
      <c r="T198" s="5"/>
      <c r="U198" s="5"/>
      <c r="V198" s="5"/>
      <c r="W198" s="5"/>
      <c r="X198" s="5"/>
      <c r="Y198" s="5"/>
      <c r="Z198" s="8"/>
      <c r="AA198" s="5"/>
      <c r="AB198" s="5"/>
      <c r="AC198" s="5"/>
      <c r="AD198" s="5"/>
      <c r="AE198" s="5"/>
      <c r="AF198" s="4"/>
      <c r="AG198" s="7"/>
      <c r="AI198" s="5"/>
      <c r="AJ198" s="7"/>
      <c r="AK198" s="8"/>
      <c r="AL198" s="9"/>
      <c r="AM198" s="2"/>
      <c r="AN198" s="5"/>
      <c r="AO198" s="5"/>
      <c r="AP198" s="6"/>
    </row>
    <row r="199" spans="10:42" x14ac:dyDescent="0.25">
      <c r="J199" s="2"/>
      <c r="K199" s="6"/>
      <c r="L199" s="6"/>
      <c r="M199" s="7"/>
      <c r="N199" s="8"/>
      <c r="O199" s="7"/>
      <c r="P199" s="5"/>
      <c r="Q199" s="8"/>
      <c r="R199" s="5"/>
      <c r="S199" s="5"/>
      <c r="T199" s="5"/>
      <c r="U199" s="5"/>
      <c r="V199" s="5"/>
      <c r="W199" s="5"/>
      <c r="X199" s="5"/>
      <c r="Y199" s="5"/>
      <c r="Z199" s="8"/>
      <c r="AA199" s="7"/>
      <c r="AB199" s="5"/>
      <c r="AC199" s="5"/>
      <c r="AD199" s="5"/>
      <c r="AE199" s="5"/>
      <c r="AF199" s="4"/>
      <c r="AG199" s="7"/>
      <c r="AH199" s="4"/>
      <c r="AI199" s="5"/>
      <c r="AJ199" s="7"/>
      <c r="AK199" s="8"/>
      <c r="AL199" s="9"/>
      <c r="AM199" s="2"/>
      <c r="AN199" s="5"/>
      <c r="AO199" s="5"/>
      <c r="AP199" s="6"/>
    </row>
    <row r="200" spans="10:42" x14ac:dyDescent="0.25">
      <c r="J200" s="2"/>
      <c r="K200" s="6"/>
      <c r="L200" s="6"/>
      <c r="M200" s="5"/>
      <c r="N200" s="8"/>
      <c r="O200" s="5"/>
      <c r="P200" s="5"/>
      <c r="Q200" s="8"/>
      <c r="R200" s="5"/>
      <c r="S200" s="5"/>
      <c r="T200" s="5"/>
      <c r="U200" s="5"/>
      <c r="V200" s="5"/>
      <c r="W200" s="5"/>
      <c r="X200" s="5"/>
      <c r="Y200" s="5"/>
      <c r="Z200" s="8"/>
      <c r="AA200" s="5"/>
      <c r="AB200" s="5"/>
      <c r="AC200" s="5"/>
      <c r="AD200" s="5"/>
      <c r="AE200" s="5"/>
      <c r="AF200" s="4"/>
      <c r="AG200" s="5"/>
      <c r="AI200" s="5"/>
      <c r="AJ200" s="7"/>
      <c r="AK200" s="4"/>
      <c r="AL200" s="2"/>
      <c r="AM200" s="2"/>
      <c r="AN200" s="5"/>
      <c r="AO200" s="5"/>
      <c r="AP200" s="6"/>
    </row>
    <row r="201" spans="10:42" x14ac:dyDescent="0.25">
      <c r="J201" s="2"/>
      <c r="K201" s="6"/>
      <c r="L201" s="6"/>
      <c r="M201" s="7"/>
      <c r="N201" s="8"/>
      <c r="O201" s="5"/>
      <c r="P201" s="5"/>
      <c r="Q201" s="8"/>
      <c r="R201" s="5"/>
      <c r="S201" s="5"/>
      <c r="T201" s="5"/>
      <c r="U201" s="5"/>
      <c r="V201" s="5"/>
      <c r="W201" s="5"/>
      <c r="X201" s="5"/>
      <c r="Y201" s="5"/>
      <c r="Z201" s="8"/>
      <c r="AA201" s="7"/>
      <c r="AB201" s="5"/>
      <c r="AC201" s="5"/>
      <c r="AD201" s="5"/>
      <c r="AE201" s="5"/>
      <c r="AF201" s="4"/>
      <c r="AG201" s="7"/>
      <c r="AI201" s="5"/>
      <c r="AJ201" s="7"/>
      <c r="AK201" s="8"/>
      <c r="AL201" s="9"/>
      <c r="AM201" s="9"/>
      <c r="AN201" s="5"/>
      <c r="AO201" s="5"/>
      <c r="AP201" s="6"/>
    </row>
    <row r="202" spans="10:42" x14ac:dyDescent="0.25">
      <c r="J202" s="2"/>
      <c r="K202" s="6"/>
      <c r="L202" s="6"/>
      <c r="M202" s="5"/>
      <c r="N202" s="8"/>
      <c r="O202" s="5"/>
      <c r="P202" s="5"/>
      <c r="Q202" s="8"/>
      <c r="R202" s="5"/>
      <c r="S202" s="5"/>
      <c r="T202" s="5"/>
      <c r="U202" s="5"/>
      <c r="V202" s="5"/>
      <c r="W202" s="5"/>
      <c r="X202" s="5"/>
      <c r="Y202" s="5"/>
      <c r="Z202" s="8"/>
      <c r="AA202" s="5"/>
      <c r="AB202" s="5"/>
      <c r="AC202" s="5"/>
      <c r="AD202" s="5"/>
      <c r="AE202" s="5"/>
      <c r="AF202" s="4"/>
      <c r="AG202" s="5"/>
      <c r="AI202" s="5"/>
      <c r="AJ202" s="7"/>
      <c r="AK202" s="8"/>
      <c r="AL202" s="9"/>
      <c r="AM202" s="2"/>
      <c r="AN202" s="5"/>
      <c r="AO202" s="5"/>
      <c r="AP202" s="6"/>
    </row>
    <row r="203" spans="10:42" x14ac:dyDescent="0.25">
      <c r="J203" s="2"/>
      <c r="K203" s="6"/>
      <c r="L203" s="6"/>
      <c r="M203" s="5"/>
      <c r="N203" s="8"/>
      <c r="O203" s="5"/>
      <c r="P203" s="5"/>
      <c r="Q203" s="8"/>
      <c r="R203" s="5"/>
      <c r="S203" s="5"/>
      <c r="T203" s="5"/>
      <c r="U203" s="5"/>
      <c r="V203" s="5"/>
      <c r="W203" s="5"/>
      <c r="X203" s="5"/>
      <c r="Y203" s="5"/>
      <c r="Z203" s="8"/>
      <c r="AA203" s="5"/>
      <c r="AB203" s="5"/>
      <c r="AC203" s="5"/>
      <c r="AD203" s="5"/>
      <c r="AE203" s="5"/>
      <c r="AF203" s="4"/>
      <c r="AG203" s="5"/>
      <c r="AH203" s="4"/>
      <c r="AI203" s="5"/>
      <c r="AJ203" s="7"/>
      <c r="AK203" s="4"/>
      <c r="AL203" s="2"/>
      <c r="AM203" s="2"/>
      <c r="AN203" s="5"/>
      <c r="AO203" s="5"/>
      <c r="AP203" s="6"/>
    </row>
    <row r="204" spans="10:42" x14ac:dyDescent="0.25">
      <c r="J204" s="2"/>
      <c r="K204" s="6"/>
      <c r="L204" s="6"/>
      <c r="M204" s="5"/>
      <c r="N204" s="8"/>
      <c r="O204" s="5"/>
      <c r="P204" s="5"/>
      <c r="Q204" s="8"/>
      <c r="R204" s="5"/>
      <c r="S204" s="5"/>
      <c r="T204" s="5"/>
      <c r="U204" s="5"/>
      <c r="V204" s="5"/>
      <c r="W204" s="5"/>
      <c r="X204" s="5"/>
      <c r="Y204" s="5"/>
      <c r="Z204" s="8"/>
      <c r="AA204" s="5"/>
      <c r="AB204" s="5"/>
      <c r="AC204" s="5"/>
      <c r="AD204" s="5"/>
      <c r="AE204" s="5"/>
      <c r="AF204" s="4"/>
      <c r="AG204" s="5"/>
      <c r="AI204" s="5"/>
      <c r="AJ204" s="7"/>
      <c r="AK204" s="8"/>
      <c r="AL204" s="9"/>
      <c r="AM204" s="2"/>
      <c r="AN204" s="5"/>
      <c r="AO204" s="5"/>
      <c r="AP204" s="6"/>
    </row>
    <row r="205" spans="10:42" x14ac:dyDescent="0.25">
      <c r="J205" s="2"/>
      <c r="K205" s="6"/>
      <c r="L205" s="6"/>
      <c r="M205" s="5"/>
      <c r="N205" s="8"/>
      <c r="O205" s="5"/>
      <c r="P205" s="5"/>
      <c r="Q205" s="8"/>
      <c r="R205" s="5"/>
      <c r="S205" s="5"/>
      <c r="T205" s="5"/>
      <c r="U205" s="5"/>
      <c r="V205" s="5"/>
      <c r="W205" s="5"/>
      <c r="X205" s="5"/>
      <c r="Y205" s="5"/>
      <c r="Z205" s="8"/>
      <c r="AA205" s="5"/>
      <c r="AB205" s="5"/>
      <c r="AC205" s="5"/>
      <c r="AD205" s="5"/>
      <c r="AE205" s="5"/>
      <c r="AF205" s="4"/>
      <c r="AG205" s="5"/>
      <c r="AI205" s="5"/>
      <c r="AJ205" s="7"/>
      <c r="AK205" s="4"/>
      <c r="AL205" s="2"/>
      <c r="AM205" s="2"/>
      <c r="AN205" s="5"/>
      <c r="AO205" s="5"/>
      <c r="AP205" s="6"/>
    </row>
    <row r="206" spans="10:42" x14ac:dyDescent="0.25">
      <c r="J206" s="2"/>
      <c r="K206" s="6"/>
      <c r="L206" s="6"/>
      <c r="M206" s="5"/>
      <c r="N206" s="8"/>
      <c r="O206" s="5"/>
      <c r="P206" s="5"/>
      <c r="Q206" s="8"/>
      <c r="R206" s="5"/>
      <c r="S206" s="5"/>
      <c r="T206" s="5"/>
      <c r="U206" s="5"/>
      <c r="V206" s="5"/>
      <c r="W206" s="5"/>
      <c r="X206" s="5"/>
      <c r="Y206" s="5"/>
      <c r="Z206" s="8"/>
      <c r="AA206" s="5"/>
      <c r="AB206" s="5"/>
      <c r="AC206" s="5"/>
      <c r="AD206" s="5"/>
      <c r="AE206" s="5"/>
      <c r="AF206" s="4"/>
      <c r="AG206" s="5"/>
      <c r="AI206" s="5"/>
      <c r="AJ206" s="7"/>
      <c r="AK206" s="4"/>
      <c r="AL206" s="2"/>
      <c r="AM206" s="2"/>
      <c r="AN206" s="5"/>
      <c r="AO206" s="5"/>
      <c r="AP206" s="6"/>
    </row>
    <row r="207" spans="10:42" x14ac:dyDescent="0.25">
      <c r="J207" s="2"/>
      <c r="K207" s="6"/>
      <c r="L207" s="6"/>
      <c r="M207" s="7"/>
      <c r="N207" s="8"/>
      <c r="O207" s="5"/>
      <c r="P207" s="7"/>
      <c r="Q207" s="8"/>
      <c r="R207" s="5"/>
      <c r="S207" s="5"/>
      <c r="T207" s="5"/>
      <c r="U207" s="5"/>
      <c r="V207" s="5"/>
      <c r="W207" s="5"/>
      <c r="X207" s="5"/>
      <c r="Y207" s="5"/>
      <c r="Z207" s="8"/>
      <c r="AA207" s="5"/>
      <c r="AB207" s="5"/>
      <c r="AC207" s="5"/>
      <c r="AD207" s="5"/>
      <c r="AE207" s="5"/>
      <c r="AF207" s="4"/>
      <c r="AG207" s="5"/>
      <c r="AI207" s="5"/>
      <c r="AJ207" s="7"/>
      <c r="AK207" s="8"/>
      <c r="AL207" s="2"/>
      <c r="AM207" s="2"/>
      <c r="AN207" s="5"/>
      <c r="AO207" s="5"/>
      <c r="AP207" s="6"/>
    </row>
    <row r="208" spans="10:42" x14ac:dyDescent="0.25">
      <c r="J208" s="2"/>
      <c r="K208" s="6"/>
      <c r="L208" s="6"/>
      <c r="M208" s="5"/>
      <c r="N208" s="8"/>
      <c r="O208" s="5"/>
      <c r="P208" s="5"/>
      <c r="Q208" s="8"/>
      <c r="R208" s="5"/>
      <c r="S208" s="5"/>
      <c r="T208" s="5"/>
      <c r="U208" s="5"/>
      <c r="V208" s="5"/>
      <c r="W208" s="5"/>
      <c r="X208" s="5"/>
      <c r="Y208" s="5"/>
      <c r="Z208" s="8"/>
      <c r="AA208" s="5"/>
      <c r="AB208" s="5"/>
      <c r="AC208" s="5"/>
      <c r="AD208" s="5"/>
      <c r="AE208" s="5"/>
      <c r="AF208" s="4"/>
      <c r="AG208" s="5"/>
      <c r="AI208" s="5"/>
      <c r="AJ208" s="7"/>
      <c r="AK208" s="4"/>
      <c r="AL208" s="2"/>
      <c r="AM208" s="2"/>
      <c r="AN208" s="5"/>
      <c r="AO208" s="5"/>
      <c r="AP208" s="6"/>
    </row>
    <row r="209" spans="10:42" x14ac:dyDescent="0.25">
      <c r="J209" s="2"/>
      <c r="K209" s="6"/>
      <c r="L209" s="6"/>
      <c r="M209" s="5"/>
      <c r="N209" s="8"/>
      <c r="O209" s="7"/>
      <c r="P209" s="5"/>
      <c r="Q209" s="8"/>
      <c r="R209" s="5"/>
      <c r="S209" s="5"/>
      <c r="T209" s="5"/>
      <c r="U209" s="5"/>
      <c r="V209" s="5"/>
      <c r="W209" s="5"/>
      <c r="X209" s="5"/>
      <c r="Y209" s="5"/>
      <c r="Z209" s="8"/>
      <c r="AA209" s="5"/>
      <c r="AB209" s="5"/>
      <c r="AC209" s="5"/>
      <c r="AD209" s="5"/>
      <c r="AE209" s="5"/>
      <c r="AF209" s="4"/>
      <c r="AG209" s="7"/>
      <c r="AH209" s="4"/>
      <c r="AI209" s="5"/>
      <c r="AJ209" s="7"/>
      <c r="AK209" s="8"/>
      <c r="AL209" s="9"/>
      <c r="AM209" s="2"/>
      <c r="AN209" s="5"/>
      <c r="AO209" s="5"/>
      <c r="AP209" s="6"/>
    </row>
    <row r="210" spans="10:42" x14ac:dyDescent="0.25">
      <c r="J210" s="2"/>
      <c r="K210" s="3"/>
      <c r="L210" s="6"/>
      <c r="N210" s="8"/>
      <c r="P210" s="5"/>
      <c r="Q210" s="8"/>
      <c r="R210" s="5"/>
      <c r="S210" s="5"/>
      <c r="U210" s="5"/>
      <c r="V210" s="5"/>
      <c r="W210" s="5"/>
      <c r="X210" s="5"/>
      <c r="Y210" s="5"/>
      <c r="Z210" s="4"/>
      <c r="AB210" s="5"/>
      <c r="AC210" s="5"/>
      <c r="AD210" s="5"/>
      <c r="AE210" s="5"/>
      <c r="AF210" s="4"/>
      <c r="AI210" s="5"/>
      <c r="AK210" s="4"/>
      <c r="AL210" s="2"/>
      <c r="AM210" s="2"/>
      <c r="AN210" s="5"/>
      <c r="AO210" s="5"/>
      <c r="AP210" s="6"/>
    </row>
    <row r="211" spans="10:42" x14ac:dyDescent="0.25">
      <c r="J211" s="2"/>
      <c r="K211" s="6"/>
      <c r="L211" s="6"/>
      <c r="M211" s="5"/>
      <c r="N211" s="8"/>
      <c r="O211" s="5"/>
      <c r="P211" s="5"/>
      <c r="Q211" s="8"/>
      <c r="R211" s="5"/>
      <c r="S211" s="5"/>
      <c r="T211" s="5"/>
      <c r="U211" s="5"/>
      <c r="V211" s="5"/>
      <c r="W211" s="5"/>
      <c r="X211" s="5"/>
      <c r="Y211" s="5"/>
      <c r="Z211" s="8"/>
      <c r="AA211" s="5"/>
      <c r="AB211" s="5"/>
      <c r="AC211" s="5"/>
      <c r="AD211" s="5"/>
      <c r="AE211" s="5"/>
      <c r="AF211" s="4"/>
      <c r="AG211" s="5"/>
      <c r="AI211" s="5"/>
      <c r="AJ211" s="7"/>
      <c r="AK211" s="4"/>
      <c r="AL211" s="2"/>
      <c r="AM211" s="2"/>
      <c r="AN211" s="5"/>
      <c r="AO211" s="5"/>
      <c r="AP211" s="6"/>
    </row>
    <row r="212" spans="10:42" x14ac:dyDescent="0.25">
      <c r="J212" s="2"/>
      <c r="K212" s="6"/>
      <c r="L212" s="6"/>
      <c r="M212" s="5"/>
      <c r="N212" s="8"/>
      <c r="O212" s="5"/>
      <c r="P212" s="5"/>
      <c r="Q212" s="8"/>
      <c r="R212" s="5"/>
      <c r="S212" s="5"/>
      <c r="T212" s="5"/>
      <c r="U212" s="5"/>
      <c r="V212" s="5"/>
      <c r="W212" s="5"/>
      <c r="X212" s="5"/>
      <c r="Y212" s="5"/>
      <c r="Z212" s="8"/>
      <c r="AA212" s="5"/>
      <c r="AB212" s="5"/>
      <c r="AC212" s="5"/>
      <c r="AD212" s="5"/>
      <c r="AE212" s="5"/>
      <c r="AF212" s="4"/>
      <c r="AG212" s="5"/>
      <c r="AI212" s="5"/>
      <c r="AJ212" s="7"/>
      <c r="AK212" s="4"/>
      <c r="AL212" s="2"/>
      <c r="AM212" s="2"/>
      <c r="AN212" s="5"/>
      <c r="AO212" s="5"/>
      <c r="AP212" s="6"/>
    </row>
    <row r="213" spans="10:42" x14ac:dyDescent="0.25">
      <c r="J213" s="2"/>
      <c r="K213" s="6"/>
      <c r="L213" s="6"/>
      <c r="N213" s="8"/>
      <c r="P213" s="5"/>
      <c r="Q213" s="8"/>
      <c r="R213" s="5"/>
      <c r="S213" s="5"/>
      <c r="U213" s="5"/>
      <c r="V213" s="5"/>
      <c r="W213" s="5"/>
      <c r="X213" s="5"/>
      <c r="Y213" s="5"/>
      <c r="Z213" s="4"/>
      <c r="AB213" s="5"/>
      <c r="AC213" s="5"/>
      <c r="AD213" s="5"/>
      <c r="AE213" s="5"/>
      <c r="AF213" s="4"/>
      <c r="AG213" s="5"/>
      <c r="AI213" s="5"/>
      <c r="AJ213" s="5"/>
      <c r="AK213" s="4"/>
      <c r="AL213" s="2"/>
      <c r="AM213" s="2"/>
      <c r="AN213" s="5"/>
      <c r="AO213" s="5"/>
      <c r="AP213" s="6"/>
    </row>
    <row r="214" spans="10:42" x14ac:dyDescent="0.25">
      <c r="J214" s="2"/>
      <c r="K214" s="6"/>
      <c r="L214" s="6"/>
      <c r="M214" s="5"/>
      <c r="N214" s="8"/>
      <c r="O214" s="5"/>
      <c r="P214" s="5"/>
      <c r="Q214" s="8"/>
      <c r="R214" s="5"/>
      <c r="S214" s="5"/>
      <c r="T214" s="5"/>
      <c r="U214" s="5"/>
      <c r="V214" s="5"/>
      <c r="W214" s="5"/>
      <c r="X214" s="5"/>
      <c r="Y214" s="5"/>
      <c r="Z214" s="8"/>
      <c r="AA214" s="5"/>
      <c r="AB214" s="5"/>
      <c r="AC214" s="5"/>
      <c r="AD214" s="5"/>
      <c r="AE214" s="5"/>
      <c r="AF214" s="4"/>
      <c r="AG214" s="5"/>
      <c r="AH214" s="4"/>
      <c r="AI214" s="5"/>
      <c r="AJ214" s="7"/>
      <c r="AK214" s="4"/>
      <c r="AL214" s="2"/>
      <c r="AM214" s="2"/>
      <c r="AN214" s="5"/>
      <c r="AO214" s="5"/>
      <c r="AP214" s="6"/>
    </row>
    <row r="215" spans="10:42" x14ac:dyDescent="0.25">
      <c r="J215" s="2"/>
      <c r="K215" s="6"/>
      <c r="L215" s="6"/>
      <c r="M215" s="5"/>
      <c r="N215" s="8"/>
      <c r="O215" s="5"/>
      <c r="P215" s="5"/>
      <c r="Q215" s="8"/>
      <c r="R215" s="5"/>
      <c r="S215" s="5"/>
      <c r="T215" s="5"/>
      <c r="U215" s="5"/>
      <c r="V215" s="5"/>
      <c r="W215" s="5"/>
      <c r="X215" s="5"/>
      <c r="Y215" s="5"/>
      <c r="Z215" s="8"/>
      <c r="AA215" s="5"/>
      <c r="AB215" s="5"/>
      <c r="AC215" s="5"/>
      <c r="AD215" s="5"/>
      <c r="AE215" s="5"/>
      <c r="AF215" s="4"/>
      <c r="AI215" s="5"/>
      <c r="AJ215" s="5"/>
      <c r="AK215" s="4"/>
      <c r="AL215" s="2"/>
      <c r="AM215" s="2"/>
      <c r="AN215" s="5"/>
      <c r="AO215" s="5"/>
      <c r="AP215" s="6"/>
    </row>
    <row r="216" spans="10:42" x14ac:dyDescent="0.25">
      <c r="J216" s="2"/>
      <c r="K216" s="6"/>
      <c r="L216" s="6"/>
      <c r="N216" s="8"/>
      <c r="O216" s="5"/>
      <c r="P216" s="5"/>
      <c r="Q216" s="8"/>
      <c r="R216" s="5"/>
      <c r="S216" s="5"/>
      <c r="U216" s="5"/>
      <c r="V216" s="5"/>
      <c r="W216" s="5"/>
      <c r="X216" s="5"/>
      <c r="Y216" s="5"/>
      <c r="Z216" s="8"/>
      <c r="AB216" s="5"/>
      <c r="AC216" s="5"/>
      <c r="AD216" s="5"/>
      <c r="AE216" s="5"/>
      <c r="AF216" s="4"/>
      <c r="AG216" s="5"/>
      <c r="AI216" s="5"/>
      <c r="AJ216" s="7"/>
      <c r="AK216" s="4"/>
      <c r="AL216" s="2"/>
      <c r="AM216" s="2"/>
      <c r="AN216" s="5"/>
      <c r="AO216" s="5"/>
      <c r="AP216" s="6"/>
    </row>
    <row r="217" spans="10:42" x14ac:dyDescent="0.25">
      <c r="J217" s="2"/>
      <c r="K217" s="6"/>
      <c r="L217" s="6"/>
      <c r="M217" s="5"/>
      <c r="N217" s="8"/>
      <c r="O217" s="5"/>
      <c r="P217" s="5"/>
      <c r="Q217" s="8"/>
      <c r="R217" s="5"/>
      <c r="S217" s="5"/>
      <c r="T217" s="5"/>
      <c r="U217" s="5"/>
      <c r="V217" s="5"/>
      <c r="W217" s="5"/>
      <c r="X217" s="5"/>
      <c r="Y217" s="5"/>
      <c r="Z217" s="8"/>
      <c r="AA217" s="5"/>
      <c r="AB217" s="5"/>
      <c r="AC217" s="5"/>
      <c r="AD217" s="5"/>
      <c r="AE217" s="5"/>
      <c r="AF217" s="4"/>
      <c r="AG217" s="5"/>
      <c r="AI217" s="5"/>
      <c r="AJ217" s="7"/>
      <c r="AK217" s="4"/>
      <c r="AL217" s="2"/>
      <c r="AM217" s="2"/>
      <c r="AN217" s="5"/>
      <c r="AO217" s="5"/>
      <c r="AP217" s="6"/>
    </row>
    <row r="218" spans="10:42" x14ac:dyDescent="0.25">
      <c r="J218" s="2"/>
      <c r="K218" s="3"/>
      <c r="L218" s="6"/>
      <c r="N218" s="8"/>
      <c r="P218" s="5"/>
      <c r="Q218" s="8"/>
      <c r="R218" s="5"/>
      <c r="S218" s="5"/>
      <c r="U218" s="5"/>
      <c r="V218" s="5"/>
      <c r="W218" s="5"/>
      <c r="X218" s="5"/>
      <c r="Y218" s="5"/>
      <c r="Z218" s="4"/>
      <c r="AB218" s="5"/>
      <c r="AC218" s="5"/>
      <c r="AD218" s="5"/>
      <c r="AE218" s="5"/>
      <c r="AF218" s="4"/>
      <c r="AI218" s="5"/>
      <c r="AK218" s="4"/>
      <c r="AL218" s="2"/>
      <c r="AM218" s="2"/>
      <c r="AN218" s="5"/>
      <c r="AO218" s="5"/>
      <c r="AP218" s="6"/>
    </row>
    <row r="219" spans="10:42" x14ac:dyDescent="0.25">
      <c r="J219" s="2"/>
      <c r="K219" s="6"/>
      <c r="L219" s="6"/>
      <c r="M219" s="5"/>
      <c r="N219" s="8"/>
      <c r="O219" s="5"/>
      <c r="P219" s="5"/>
      <c r="Q219" s="8"/>
      <c r="R219" s="5"/>
      <c r="S219" s="5"/>
      <c r="T219" s="5"/>
      <c r="U219" s="5"/>
      <c r="V219" s="5"/>
      <c r="W219" s="5"/>
      <c r="X219" s="5"/>
      <c r="Y219" s="5"/>
      <c r="Z219" s="8"/>
      <c r="AA219" s="5"/>
      <c r="AB219" s="5"/>
      <c r="AC219" s="5"/>
      <c r="AD219" s="5"/>
      <c r="AE219" s="5"/>
      <c r="AF219" s="4"/>
      <c r="AG219" s="5"/>
      <c r="AI219" s="5"/>
      <c r="AJ219" s="7"/>
      <c r="AK219" s="4"/>
      <c r="AL219" s="2"/>
      <c r="AM219" s="2"/>
      <c r="AN219" s="5"/>
      <c r="AO219" s="5"/>
      <c r="AP219" s="6"/>
    </row>
    <row r="220" spans="10:42" x14ac:dyDescent="0.25">
      <c r="J220" s="2"/>
      <c r="K220" s="3"/>
      <c r="L220" s="6"/>
      <c r="M220" s="5"/>
      <c r="N220" s="8"/>
      <c r="P220" s="5"/>
      <c r="Q220" s="8"/>
      <c r="R220" s="5"/>
      <c r="S220" s="5"/>
      <c r="T220" s="5"/>
      <c r="U220" s="5"/>
      <c r="V220" s="5"/>
      <c r="W220" s="5"/>
      <c r="X220" s="5"/>
      <c r="Y220" s="5"/>
      <c r="Z220" s="8"/>
      <c r="AA220" s="5"/>
      <c r="AB220" s="5"/>
      <c r="AC220" s="5"/>
      <c r="AD220" s="5"/>
      <c r="AE220" s="5"/>
      <c r="AF220" s="4"/>
      <c r="AG220" s="5"/>
      <c r="AI220" s="5"/>
      <c r="AJ220" s="5"/>
      <c r="AK220" s="4"/>
      <c r="AL220" s="2"/>
      <c r="AM220" s="2"/>
      <c r="AN220" s="5"/>
      <c r="AO220" s="5"/>
      <c r="AP220" s="6"/>
    </row>
    <row r="221" spans="10:42" x14ac:dyDescent="0.25">
      <c r="J221" s="2"/>
      <c r="K221" s="3"/>
      <c r="L221" s="6"/>
      <c r="N221" s="8"/>
      <c r="P221" s="5"/>
      <c r="Q221" s="8"/>
      <c r="R221" s="5"/>
      <c r="S221" s="5"/>
      <c r="U221" s="5"/>
      <c r="V221" s="5"/>
      <c r="W221" s="5"/>
      <c r="X221" s="5"/>
      <c r="Y221" s="5"/>
      <c r="Z221" s="4"/>
      <c r="AB221" s="5"/>
      <c r="AC221" s="5"/>
      <c r="AD221" s="5"/>
      <c r="AE221" s="5"/>
      <c r="AF221" s="4"/>
      <c r="AI221" s="5"/>
      <c r="AK221" s="4"/>
      <c r="AL221" s="2"/>
      <c r="AM221" s="2"/>
      <c r="AN221" s="5"/>
      <c r="AO221" s="5"/>
      <c r="AP221" s="6"/>
    </row>
    <row r="222" spans="10:42" x14ac:dyDescent="0.25">
      <c r="J222" s="2"/>
      <c r="K222" s="6"/>
      <c r="L222" s="6"/>
      <c r="M222" s="5"/>
      <c r="N222" s="8"/>
      <c r="O222" s="5"/>
      <c r="P222" s="5"/>
      <c r="Q222" s="8"/>
      <c r="R222" s="5"/>
      <c r="S222" s="5"/>
      <c r="T222" s="5"/>
      <c r="U222" s="5"/>
      <c r="V222" s="5"/>
      <c r="W222" s="5"/>
      <c r="X222" s="5"/>
      <c r="Y222" s="5"/>
      <c r="Z222" s="8"/>
      <c r="AA222" s="5"/>
      <c r="AB222" s="5"/>
      <c r="AC222" s="5"/>
      <c r="AD222" s="5"/>
      <c r="AE222" s="5"/>
      <c r="AF222" s="4"/>
      <c r="AG222" s="5"/>
      <c r="AI222" s="5"/>
      <c r="AJ222" s="7"/>
      <c r="AK222" s="8"/>
      <c r="AL222" s="2"/>
      <c r="AM222" s="2"/>
      <c r="AN222" s="5"/>
      <c r="AO222" s="5"/>
      <c r="AP222" s="6"/>
    </row>
    <row r="223" spans="10:42" x14ac:dyDescent="0.25">
      <c r="J223" s="2"/>
      <c r="K223" s="6"/>
      <c r="L223" s="6"/>
      <c r="M223" s="5"/>
      <c r="N223" s="8"/>
      <c r="O223" s="5"/>
      <c r="P223" s="5"/>
      <c r="Q223" s="8"/>
      <c r="R223" s="5"/>
      <c r="S223" s="5"/>
      <c r="T223" s="5"/>
      <c r="U223" s="5"/>
      <c r="V223" s="5"/>
      <c r="W223" s="5"/>
      <c r="X223" s="5"/>
      <c r="Y223" s="5"/>
      <c r="Z223" s="8"/>
      <c r="AA223" s="5"/>
      <c r="AB223" s="5"/>
      <c r="AC223" s="5"/>
      <c r="AD223" s="5"/>
      <c r="AE223" s="5"/>
      <c r="AF223" s="4"/>
      <c r="AG223" s="7"/>
      <c r="AI223" s="5"/>
      <c r="AJ223" s="7"/>
      <c r="AK223" s="8"/>
      <c r="AL223" s="9"/>
      <c r="AM223" s="2"/>
      <c r="AN223" s="5"/>
      <c r="AO223" s="5"/>
      <c r="AP223" s="6"/>
    </row>
    <row r="224" spans="10:42" x14ac:dyDescent="0.25">
      <c r="J224" s="2"/>
      <c r="K224" s="6"/>
      <c r="L224" s="6"/>
      <c r="M224" s="5"/>
      <c r="N224" s="8"/>
      <c r="O224" s="7"/>
      <c r="P224" s="5"/>
      <c r="Q224" s="8"/>
      <c r="R224" s="5"/>
      <c r="S224" s="5"/>
      <c r="T224" s="5"/>
      <c r="U224" s="5"/>
      <c r="V224" s="5"/>
      <c r="W224" s="5"/>
      <c r="X224" s="5"/>
      <c r="Y224" s="5"/>
      <c r="Z224" s="8"/>
      <c r="AA224" s="5"/>
      <c r="AB224" s="5"/>
      <c r="AC224" s="5"/>
      <c r="AD224" s="5"/>
      <c r="AE224" s="5"/>
      <c r="AF224" s="4"/>
      <c r="AG224" s="5"/>
      <c r="AH224" s="4"/>
      <c r="AI224" s="5"/>
      <c r="AJ224" s="7"/>
      <c r="AK224" s="4"/>
      <c r="AL224" s="2"/>
      <c r="AM224" s="2"/>
      <c r="AN224" s="5"/>
      <c r="AO224" s="5"/>
      <c r="AP224" s="6"/>
    </row>
    <row r="225" spans="10:42" x14ac:dyDescent="0.25">
      <c r="J225" s="2"/>
      <c r="K225" s="3"/>
      <c r="L225" s="6"/>
      <c r="N225" s="8"/>
      <c r="P225" s="5"/>
      <c r="Q225" s="8"/>
      <c r="R225" s="5"/>
      <c r="S225" s="5"/>
      <c r="U225" s="5"/>
      <c r="V225" s="5"/>
      <c r="W225" s="5"/>
      <c r="X225" s="5"/>
      <c r="Y225" s="5"/>
      <c r="Z225" s="4"/>
      <c r="AB225" s="5"/>
      <c r="AC225" s="5"/>
      <c r="AD225" s="5"/>
      <c r="AE225" s="5"/>
      <c r="AF225" s="4"/>
      <c r="AI225" s="5"/>
      <c r="AK225" s="4"/>
      <c r="AL225" s="2"/>
      <c r="AM225" s="2"/>
      <c r="AN225" s="5"/>
      <c r="AO225" s="5"/>
      <c r="AP225" s="6"/>
    </row>
    <row r="226" spans="10:42" x14ac:dyDescent="0.25">
      <c r="J226" s="2"/>
      <c r="K226" s="6"/>
      <c r="L226" s="6"/>
      <c r="M226" s="5"/>
      <c r="N226" s="8"/>
      <c r="O226" s="5"/>
      <c r="P226" s="5"/>
      <c r="Q226" s="8"/>
      <c r="R226" s="5"/>
      <c r="S226" s="5"/>
      <c r="T226" s="5"/>
      <c r="U226" s="5"/>
      <c r="V226" s="5"/>
      <c r="W226" s="5"/>
      <c r="X226" s="5"/>
      <c r="Y226" s="5"/>
      <c r="Z226" s="8"/>
      <c r="AA226" s="5"/>
      <c r="AB226" s="5"/>
      <c r="AC226" s="5"/>
      <c r="AD226" s="5"/>
      <c r="AE226" s="5"/>
      <c r="AF226" s="4"/>
      <c r="AG226" s="5"/>
      <c r="AI226" s="5"/>
      <c r="AJ226" s="7"/>
      <c r="AK226" s="8"/>
      <c r="AL226" s="2"/>
      <c r="AM226" s="2"/>
      <c r="AN226" s="5"/>
      <c r="AO226" s="5"/>
      <c r="AP226" s="6"/>
    </row>
    <row r="227" spans="10:42" x14ac:dyDescent="0.25">
      <c r="J227" s="2"/>
      <c r="K227" s="6"/>
      <c r="L227" s="6"/>
      <c r="M227" s="5"/>
      <c r="N227" s="8"/>
      <c r="O227" s="5"/>
      <c r="P227" s="5"/>
      <c r="Q227" s="8"/>
      <c r="R227" s="5"/>
      <c r="S227" s="5"/>
      <c r="T227" s="5"/>
      <c r="U227" s="5"/>
      <c r="V227" s="5"/>
      <c r="W227" s="5"/>
      <c r="X227" s="5"/>
      <c r="Y227" s="5"/>
      <c r="Z227" s="8"/>
      <c r="AA227" s="5"/>
      <c r="AB227" s="5"/>
      <c r="AC227" s="5"/>
      <c r="AD227" s="5"/>
      <c r="AE227" s="5"/>
      <c r="AF227" s="4"/>
      <c r="AG227" s="5"/>
      <c r="AI227" s="5"/>
      <c r="AJ227" s="7"/>
      <c r="AK227" s="8"/>
      <c r="AL227" s="9"/>
      <c r="AM227" s="2"/>
      <c r="AN227" s="5"/>
      <c r="AO227" s="5"/>
      <c r="AP227" s="6"/>
    </row>
    <row r="228" spans="10:42" x14ac:dyDescent="0.25">
      <c r="J228" s="2"/>
      <c r="K228" s="6"/>
      <c r="L228" s="6"/>
      <c r="M228" s="5"/>
      <c r="N228" s="8"/>
      <c r="O228" s="5"/>
      <c r="P228" s="5"/>
      <c r="Q228" s="8"/>
      <c r="R228" s="5"/>
      <c r="S228" s="5"/>
      <c r="T228" s="5"/>
      <c r="U228" s="5"/>
      <c r="V228" s="5"/>
      <c r="W228" s="5"/>
      <c r="X228" s="5"/>
      <c r="Y228" s="5"/>
      <c r="Z228" s="8"/>
      <c r="AA228" s="5"/>
      <c r="AB228" s="5"/>
      <c r="AC228" s="5"/>
      <c r="AD228" s="5"/>
      <c r="AE228" s="5"/>
      <c r="AF228" s="4"/>
      <c r="AG228" s="7"/>
      <c r="AI228" s="5"/>
      <c r="AJ228" s="7"/>
      <c r="AK228" s="8"/>
      <c r="AL228" s="9"/>
      <c r="AM228" s="2"/>
      <c r="AN228" s="5"/>
      <c r="AO228" s="5"/>
      <c r="AP228" s="6"/>
    </row>
    <row r="229" spans="10:42" x14ac:dyDescent="0.25">
      <c r="J229" s="2"/>
      <c r="K229" s="6"/>
      <c r="L229" s="6"/>
      <c r="M229" s="5"/>
      <c r="N229" s="8"/>
      <c r="O229" s="5"/>
      <c r="P229" s="5"/>
      <c r="Q229" s="8"/>
      <c r="R229" s="5"/>
      <c r="S229" s="5"/>
      <c r="T229" s="5"/>
      <c r="U229" s="5"/>
      <c r="V229" s="5"/>
      <c r="W229" s="5"/>
      <c r="X229" s="5"/>
      <c r="Y229" s="5"/>
      <c r="Z229" s="8"/>
      <c r="AA229" s="5"/>
      <c r="AB229" s="5"/>
      <c r="AC229" s="5"/>
      <c r="AD229" s="5"/>
      <c r="AE229" s="5"/>
      <c r="AF229" s="4"/>
      <c r="AG229" s="7"/>
      <c r="AH229" s="4"/>
      <c r="AI229" s="5"/>
      <c r="AJ229" s="5"/>
      <c r="AK229" s="4"/>
      <c r="AL229" s="9"/>
      <c r="AM229" s="2"/>
      <c r="AN229" s="5"/>
      <c r="AO229" s="5"/>
      <c r="AP229" s="6"/>
    </row>
    <row r="230" spans="10:42" x14ac:dyDescent="0.25">
      <c r="J230" s="2"/>
      <c r="K230" s="6"/>
      <c r="L230" s="6"/>
      <c r="M230" s="5"/>
      <c r="N230" s="8"/>
      <c r="O230" s="5"/>
      <c r="P230" s="5"/>
      <c r="Q230" s="8"/>
      <c r="R230" s="5"/>
      <c r="S230" s="5"/>
      <c r="T230" s="5"/>
      <c r="U230" s="5"/>
      <c r="V230" s="5"/>
      <c r="W230" s="5"/>
      <c r="X230" s="5"/>
      <c r="Y230" s="5"/>
      <c r="Z230" s="8"/>
      <c r="AA230" s="5"/>
      <c r="AB230" s="5"/>
      <c r="AC230" s="5"/>
      <c r="AD230" s="5"/>
      <c r="AE230" s="5"/>
      <c r="AF230" s="4"/>
      <c r="AG230" s="5"/>
      <c r="AI230" s="5"/>
      <c r="AJ230" s="7"/>
      <c r="AK230" s="4"/>
      <c r="AL230" s="2"/>
      <c r="AM230" s="2"/>
      <c r="AN230" s="5"/>
      <c r="AO230" s="5"/>
      <c r="AP230" s="6"/>
    </row>
    <row r="231" spans="10:42" x14ac:dyDescent="0.25">
      <c r="J231" s="2"/>
      <c r="K231" s="6"/>
      <c r="L231" s="6"/>
      <c r="M231" s="5"/>
      <c r="N231" s="8"/>
      <c r="O231" s="5"/>
      <c r="P231" s="5"/>
      <c r="Q231" s="8"/>
      <c r="R231" s="5"/>
      <c r="S231" s="5"/>
      <c r="T231" s="5"/>
      <c r="U231" s="5"/>
      <c r="V231" s="5"/>
      <c r="W231" s="5"/>
      <c r="X231" s="5"/>
      <c r="Y231" s="5"/>
      <c r="Z231" s="8"/>
      <c r="AA231" s="5"/>
      <c r="AB231" s="5"/>
      <c r="AC231" s="5"/>
      <c r="AD231" s="5"/>
      <c r="AE231" s="5"/>
      <c r="AF231" s="4"/>
      <c r="AG231" s="5"/>
      <c r="AI231" s="5"/>
      <c r="AJ231" s="7"/>
      <c r="AK231" s="8"/>
      <c r="AL231" s="2"/>
      <c r="AM231" s="9"/>
      <c r="AN231" s="5"/>
      <c r="AO231" s="5"/>
      <c r="AP231" s="6"/>
    </row>
    <row r="232" spans="10:42" x14ac:dyDescent="0.25">
      <c r="J232" s="2"/>
      <c r="K232" s="6"/>
      <c r="L232" s="6"/>
      <c r="M232" s="7"/>
      <c r="N232" s="8"/>
      <c r="O232" s="5"/>
      <c r="P232" s="7"/>
      <c r="Q232" s="8"/>
      <c r="R232" s="5"/>
      <c r="S232" s="5"/>
      <c r="T232" s="5"/>
      <c r="U232" s="5"/>
      <c r="V232" s="5"/>
      <c r="W232" s="5"/>
      <c r="X232" s="5"/>
      <c r="Y232" s="5"/>
      <c r="Z232" s="8"/>
      <c r="AA232" s="5"/>
      <c r="AB232" s="5"/>
      <c r="AC232" s="5"/>
      <c r="AD232" s="5"/>
      <c r="AE232" s="5"/>
      <c r="AF232" s="4"/>
      <c r="AG232" s="7"/>
      <c r="AI232" s="5"/>
      <c r="AJ232" s="7"/>
      <c r="AK232" s="8"/>
      <c r="AL232" s="9"/>
      <c r="AM232" s="9"/>
      <c r="AN232" s="5"/>
      <c r="AO232" s="5"/>
      <c r="AP232" s="6"/>
    </row>
    <row r="233" spans="10:42" x14ac:dyDescent="0.25">
      <c r="J233" s="2"/>
      <c r="K233" s="6"/>
      <c r="L233" s="6"/>
      <c r="M233" s="7"/>
      <c r="N233" s="8"/>
      <c r="O233" s="5"/>
      <c r="P233" s="7"/>
      <c r="Q233" s="8"/>
      <c r="R233" s="5"/>
      <c r="S233" s="5"/>
      <c r="T233" s="5"/>
      <c r="U233" s="5"/>
      <c r="V233" s="5"/>
      <c r="W233" s="5"/>
      <c r="X233" s="5"/>
      <c r="Y233" s="5"/>
      <c r="Z233" s="8"/>
      <c r="AA233" s="5"/>
      <c r="AB233" s="5"/>
      <c r="AC233" s="5"/>
      <c r="AD233" s="5"/>
      <c r="AE233" s="5"/>
      <c r="AF233" s="4"/>
      <c r="AG233" s="7"/>
      <c r="AI233" s="5"/>
      <c r="AJ233" s="7"/>
      <c r="AK233" s="8"/>
      <c r="AL233" s="9"/>
      <c r="AM233" s="9"/>
      <c r="AN233" s="5"/>
      <c r="AO233" s="5"/>
      <c r="AP233" s="6"/>
    </row>
    <row r="234" spans="10:42" x14ac:dyDescent="0.25">
      <c r="J234" s="2"/>
      <c r="K234" s="6"/>
      <c r="L234" s="6"/>
      <c r="M234" s="5"/>
      <c r="N234" s="8"/>
      <c r="O234" s="7"/>
      <c r="P234" s="5"/>
      <c r="Q234" s="8"/>
      <c r="R234" s="5"/>
      <c r="S234" s="5"/>
      <c r="T234" s="5"/>
      <c r="U234" s="5"/>
      <c r="V234" s="5"/>
      <c r="W234" s="5"/>
      <c r="X234" s="5"/>
      <c r="Y234" s="5"/>
      <c r="Z234" s="8"/>
      <c r="AA234" s="5"/>
      <c r="AB234" s="5"/>
      <c r="AC234" s="5"/>
      <c r="AD234" s="5"/>
      <c r="AE234" s="5"/>
      <c r="AF234" s="4"/>
      <c r="AG234" s="7"/>
      <c r="AH234" s="8"/>
      <c r="AI234" s="5"/>
      <c r="AJ234" s="7"/>
      <c r="AK234" s="8"/>
      <c r="AL234" s="9"/>
      <c r="AM234" s="9"/>
      <c r="AN234" s="5"/>
      <c r="AO234" s="5"/>
      <c r="AP234" s="6"/>
    </row>
    <row r="235" spans="10:42" x14ac:dyDescent="0.25">
      <c r="J235" s="2"/>
      <c r="K235" s="6"/>
      <c r="L235" s="6"/>
      <c r="M235" s="5"/>
      <c r="N235" s="8"/>
      <c r="O235" s="5"/>
      <c r="P235" s="5"/>
      <c r="Q235" s="8"/>
      <c r="R235" s="5"/>
      <c r="S235" s="5"/>
      <c r="T235" s="5"/>
      <c r="U235" s="5"/>
      <c r="V235" s="5"/>
      <c r="W235" s="5"/>
      <c r="X235" s="5"/>
      <c r="Y235" s="5"/>
      <c r="Z235" s="8"/>
      <c r="AA235" s="5"/>
      <c r="AB235" s="5"/>
      <c r="AC235" s="5"/>
      <c r="AD235" s="5"/>
      <c r="AE235" s="5"/>
      <c r="AF235" s="4"/>
      <c r="AG235" s="7"/>
      <c r="AI235" s="5"/>
      <c r="AJ235" s="7"/>
      <c r="AK235" s="4"/>
      <c r="AL235" s="9"/>
      <c r="AM235" s="2"/>
      <c r="AN235" s="5"/>
      <c r="AO235" s="5"/>
      <c r="AP235" s="6"/>
    </row>
    <row r="236" spans="10:42" x14ac:dyDescent="0.25">
      <c r="J236" s="2"/>
      <c r="K236" s="6"/>
      <c r="L236" s="6"/>
      <c r="M236" s="5"/>
      <c r="N236" s="8"/>
      <c r="O236" s="5"/>
      <c r="P236" s="5"/>
      <c r="Q236" s="8"/>
      <c r="R236" s="5"/>
      <c r="S236" s="5"/>
      <c r="T236" s="5"/>
      <c r="U236" s="5"/>
      <c r="V236" s="5"/>
      <c r="W236" s="5"/>
      <c r="X236" s="5"/>
      <c r="Y236" s="5"/>
      <c r="Z236" s="8"/>
      <c r="AA236" s="5"/>
      <c r="AB236" s="5"/>
      <c r="AC236" s="5"/>
      <c r="AD236" s="5"/>
      <c r="AE236" s="5"/>
      <c r="AF236" s="4"/>
      <c r="AG236" s="7"/>
      <c r="AI236" s="5"/>
      <c r="AJ236" s="7"/>
      <c r="AK236" s="8"/>
      <c r="AL236" s="9"/>
      <c r="AM236" s="9"/>
      <c r="AN236" s="5"/>
      <c r="AO236" s="5"/>
      <c r="AP236" s="6"/>
    </row>
    <row r="237" spans="10:42" x14ac:dyDescent="0.25">
      <c r="J237" s="2"/>
      <c r="K237" s="6"/>
      <c r="L237" s="6"/>
      <c r="M237" s="7"/>
      <c r="N237" s="8"/>
      <c r="O237" s="5"/>
      <c r="P237" s="7"/>
      <c r="Q237" s="8"/>
      <c r="R237" s="5"/>
      <c r="S237" s="5"/>
      <c r="T237" s="5"/>
      <c r="U237" s="5"/>
      <c r="V237" s="5"/>
      <c r="W237" s="5"/>
      <c r="X237" s="5"/>
      <c r="Y237" s="5"/>
      <c r="Z237" s="8"/>
      <c r="AA237" s="7"/>
      <c r="AB237" s="5"/>
      <c r="AC237" s="5"/>
      <c r="AD237" s="5"/>
      <c r="AE237" s="5"/>
      <c r="AF237" s="4"/>
      <c r="AG237" s="7"/>
      <c r="AH237" s="8"/>
      <c r="AI237" s="5"/>
      <c r="AJ237" s="7"/>
      <c r="AK237" s="8"/>
      <c r="AL237" s="9"/>
      <c r="AM237" s="9"/>
      <c r="AN237" s="5"/>
      <c r="AO237" s="5"/>
      <c r="AP237" s="6"/>
    </row>
    <row r="238" spans="10:42" x14ac:dyDescent="0.25">
      <c r="J238" s="2"/>
      <c r="K238" s="6"/>
      <c r="L238" s="6"/>
      <c r="M238" s="7"/>
      <c r="N238" s="8"/>
      <c r="O238" s="7"/>
      <c r="P238" s="7"/>
      <c r="Q238" s="8"/>
      <c r="R238" s="5"/>
      <c r="S238" s="5"/>
      <c r="T238" s="5"/>
      <c r="U238" s="5"/>
      <c r="V238" s="5"/>
      <c r="W238" s="5"/>
      <c r="X238" s="5"/>
      <c r="Y238" s="5"/>
      <c r="Z238" s="8"/>
      <c r="AA238" s="5"/>
      <c r="AB238" s="5"/>
      <c r="AC238" s="5"/>
      <c r="AD238" s="5"/>
      <c r="AE238" s="5"/>
      <c r="AF238" s="4"/>
      <c r="AG238" s="7"/>
      <c r="AH238" s="8"/>
      <c r="AI238" s="5"/>
      <c r="AJ238" s="7"/>
      <c r="AK238" s="8"/>
      <c r="AL238" s="9"/>
      <c r="AM238" s="9"/>
      <c r="AN238" s="5"/>
      <c r="AO238" s="5"/>
      <c r="AP238" s="6"/>
    </row>
    <row r="239" spans="10:42" x14ac:dyDescent="0.25">
      <c r="J239" s="2"/>
      <c r="K239" s="6"/>
      <c r="L239" s="6"/>
      <c r="M239" s="7"/>
      <c r="N239" s="8"/>
      <c r="O239" s="7"/>
      <c r="P239" s="7"/>
      <c r="Q239" s="8"/>
      <c r="R239" s="5"/>
      <c r="S239" s="5"/>
      <c r="T239" s="5"/>
      <c r="U239" s="5"/>
      <c r="V239" s="5"/>
      <c r="W239" s="5"/>
      <c r="X239" s="5"/>
      <c r="Y239" s="5"/>
      <c r="Z239" s="8"/>
      <c r="AA239" s="7"/>
      <c r="AB239" s="5"/>
      <c r="AC239" s="5"/>
      <c r="AD239" s="5"/>
      <c r="AE239" s="5"/>
      <c r="AF239" s="4"/>
      <c r="AG239" s="7"/>
      <c r="AH239" s="8"/>
      <c r="AI239" s="5"/>
      <c r="AJ239" s="7"/>
      <c r="AK239" s="8"/>
      <c r="AL239" s="9"/>
      <c r="AM239" s="9"/>
      <c r="AN239" s="5"/>
      <c r="AO239" s="5"/>
      <c r="AP239" s="6"/>
    </row>
    <row r="240" spans="10:42" x14ac:dyDescent="0.25">
      <c r="J240" s="2"/>
      <c r="K240" s="6"/>
      <c r="L240" s="6"/>
      <c r="M240" s="5"/>
      <c r="N240" s="8"/>
      <c r="O240" s="5"/>
      <c r="P240" s="5"/>
      <c r="Q240" s="8"/>
      <c r="R240" s="5"/>
      <c r="S240" s="5"/>
      <c r="T240" s="5"/>
      <c r="U240" s="5"/>
      <c r="V240" s="5"/>
      <c r="W240" s="5"/>
      <c r="X240" s="5"/>
      <c r="Y240" s="5"/>
      <c r="Z240" s="8"/>
      <c r="AA240" s="5"/>
      <c r="AB240" s="5"/>
      <c r="AC240" s="5"/>
      <c r="AD240" s="5"/>
      <c r="AE240" s="5"/>
      <c r="AF240" s="4"/>
      <c r="AG240" s="7"/>
      <c r="AI240" s="5"/>
      <c r="AJ240" s="7"/>
      <c r="AK240" s="8"/>
      <c r="AL240" s="9"/>
      <c r="AM240" s="2"/>
      <c r="AN240" s="5"/>
      <c r="AO240" s="5"/>
      <c r="AP240" s="6"/>
    </row>
    <row r="241" spans="10:42" x14ac:dyDescent="0.25">
      <c r="J241" s="2"/>
      <c r="K241" s="6"/>
      <c r="L241" s="6"/>
      <c r="M241" s="5"/>
      <c r="N241" s="8"/>
      <c r="O241" s="5"/>
      <c r="P241" s="5"/>
      <c r="Q241" s="8"/>
      <c r="R241" s="5"/>
      <c r="S241" s="5"/>
      <c r="T241" s="5"/>
      <c r="U241" s="5"/>
      <c r="V241" s="5"/>
      <c r="W241" s="5"/>
      <c r="X241" s="5"/>
      <c r="Y241" s="5"/>
      <c r="Z241" s="8"/>
      <c r="AA241" s="5"/>
      <c r="AB241" s="5"/>
      <c r="AC241" s="5"/>
      <c r="AD241" s="5"/>
      <c r="AE241" s="5"/>
      <c r="AF241" s="4"/>
      <c r="AG241" s="7"/>
      <c r="AI241" s="5"/>
      <c r="AJ241" s="7"/>
      <c r="AK241" s="8"/>
      <c r="AL241" s="9"/>
      <c r="AM241" s="9"/>
      <c r="AN241" s="5"/>
      <c r="AO241" s="5"/>
      <c r="AP241" s="6"/>
    </row>
    <row r="242" spans="10:42" x14ac:dyDescent="0.25">
      <c r="J242" s="2"/>
      <c r="K242" s="6"/>
      <c r="L242" s="6"/>
      <c r="M242" s="7"/>
      <c r="N242" s="8"/>
      <c r="O242" s="7"/>
      <c r="P242" s="7"/>
      <c r="Q242" s="8"/>
      <c r="R242" s="5"/>
      <c r="S242" s="5"/>
      <c r="T242" s="5"/>
      <c r="U242" s="5"/>
      <c r="V242" s="5"/>
      <c r="W242" s="5"/>
      <c r="X242" s="5"/>
      <c r="Y242" s="5"/>
      <c r="Z242" s="8"/>
      <c r="AA242" s="7"/>
      <c r="AB242" s="5"/>
      <c r="AC242" s="5"/>
      <c r="AD242" s="5"/>
      <c r="AE242" s="5"/>
      <c r="AF242" s="4"/>
      <c r="AG242" s="7"/>
      <c r="AH242" s="4"/>
      <c r="AI242" s="5"/>
      <c r="AJ242" s="7"/>
      <c r="AK242" s="8"/>
      <c r="AL242" s="9"/>
      <c r="AM242" s="9"/>
      <c r="AN242" s="5"/>
      <c r="AO242" s="5"/>
      <c r="AP242" s="6"/>
    </row>
    <row r="243" spans="10:42" x14ac:dyDescent="0.25">
      <c r="J243" s="2"/>
      <c r="K243" s="6"/>
      <c r="L243" s="6"/>
      <c r="M243" s="7"/>
      <c r="N243" s="8"/>
      <c r="O243" s="5"/>
      <c r="P243" s="7"/>
      <c r="Q243" s="8"/>
      <c r="R243" s="5"/>
      <c r="S243" s="5"/>
      <c r="T243" s="5"/>
      <c r="U243" s="5"/>
      <c r="V243" s="5"/>
      <c r="W243" s="5"/>
      <c r="X243" s="5"/>
      <c r="Y243" s="5"/>
      <c r="Z243" s="8"/>
      <c r="AA243" s="7"/>
      <c r="AB243" s="5"/>
      <c r="AC243" s="5"/>
      <c r="AD243" s="5"/>
      <c r="AE243" s="5"/>
      <c r="AF243" s="4"/>
      <c r="AG243" s="7"/>
      <c r="AH243" s="4"/>
      <c r="AI243" s="5"/>
      <c r="AJ243" s="7"/>
      <c r="AK243" s="8"/>
      <c r="AL243" s="9"/>
      <c r="AM243" s="9"/>
      <c r="AN243" s="5"/>
      <c r="AO243" s="5"/>
      <c r="AP243" s="6"/>
    </row>
    <row r="244" spans="10:42" x14ac:dyDescent="0.25">
      <c r="J244" s="2"/>
      <c r="K244" s="6"/>
      <c r="L244" s="6"/>
      <c r="M244" s="7"/>
      <c r="N244" s="8"/>
      <c r="O244" s="7"/>
      <c r="P244" s="7"/>
      <c r="Q244" s="8"/>
      <c r="R244" s="5"/>
      <c r="S244" s="5"/>
      <c r="T244" s="5"/>
      <c r="U244" s="5"/>
      <c r="V244" s="5"/>
      <c r="W244" s="5"/>
      <c r="X244" s="5"/>
      <c r="Y244" s="5"/>
      <c r="Z244" s="8"/>
      <c r="AA244" s="7"/>
      <c r="AB244" s="5"/>
      <c r="AC244" s="5"/>
      <c r="AD244" s="5"/>
      <c r="AE244" s="5"/>
      <c r="AF244" s="4"/>
      <c r="AG244" s="7"/>
      <c r="AH244" s="4"/>
      <c r="AI244" s="5"/>
      <c r="AJ244" s="7"/>
      <c r="AK244" s="8"/>
      <c r="AL244" s="9"/>
      <c r="AM244" s="9"/>
      <c r="AN244" s="5"/>
      <c r="AO244" s="5"/>
      <c r="AP244" s="6"/>
    </row>
    <row r="245" spans="10:42" x14ac:dyDescent="0.25">
      <c r="J245" s="2"/>
      <c r="K245" s="6"/>
      <c r="L245" s="6"/>
      <c r="M245" s="5"/>
      <c r="N245" s="8"/>
      <c r="O245" s="5"/>
      <c r="P245" s="5"/>
      <c r="Q245" s="8"/>
      <c r="R245" s="5"/>
      <c r="S245" s="5"/>
      <c r="T245" s="5"/>
      <c r="U245" s="5"/>
      <c r="V245" s="5"/>
      <c r="W245" s="5"/>
      <c r="X245" s="5"/>
      <c r="Y245" s="5"/>
      <c r="Z245" s="8"/>
      <c r="AA245" s="5"/>
      <c r="AB245" s="5"/>
      <c r="AC245" s="5"/>
      <c r="AD245" s="5"/>
      <c r="AE245" s="5"/>
      <c r="AF245" s="4"/>
      <c r="AG245" s="7"/>
      <c r="AI245" s="5"/>
      <c r="AJ245" s="7"/>
      <c r="AK245" s="8"/>
      <c r="AL245" s="9"/>
      <c r="AM245" s="2"/>
      <c r="AN245" s="5"/>
      <c r="AO245" s="5"/>
      <c r="AP245" s="6"/>
    </row>
    <row r="246" spans="10:42" x14ac:dyDescent="0.25">
      <c r="J246" s="2"/>
      <c r="K246" s="6"/>
      <c r="L246" s="6"/>
      <c r="M246" s="7"/>
      <c r="N246" s="8"/>
      <c r="O246" s="5"/>
      <c r="P246" s="7"/>
      <c r="Q246" s="8"/>
      <c r="R246" s="5"/>
      <c r="S246" s="5"/>
      <c r="T246" s="5"/>
      <c r="U246" s="5"/>
      <c r="V246" s="5"/>
      <c r="W246" s="5"/>
      <c r="X246" s="5"/>
      <c r="Y246" s="5"/>
      <c r="Z246" s="8"/>
      <c r="AA246" s="7"/>
      <c r="AB246" s="5"/>
      <c r="AC246" s="5"/>
      <c r="AD246" s="5"/>
      <c r="AE246" s="5"/>
      <c r="AF246" s="4"/>
      <c r="AG246" s="7"/>
      <c r="AH246" s="4"/>
      <c r="AI246" s="5"/>
      <c r="AJ246" s="7"/>
      <c r="AK246" s="8"/>
      <c r="AL246" s="9"/>
      <c r="AM246" s="9"/>
      <c r="AN246" s="5"/>
      <c r="AO246" s="5"/>
      <c r="AP246" s="6"/>
    </row>
    <row r="247" spans="10:42" x14ac:dyDescent="0.25">
      <c r="J247" s="2"/>
      <c r="K247" s="6"/>
      <c r="L247" s="6"/>
      <c r="M247" s="7"/>
      <c r="N247" s="8"/>
      <c r="O247" s="7"/>
      <c r="P247" s="7"/>
      <c r="Q247" s="8"/>
      <c r="R247" s="5"/>
      <c r="S247" s="5"/>
      <c r="T247" s="5"/>
      <c r="U247" s="5"/>
      <c r="V247" s="5"/>
      <c r="W247" s="5"/>
      <c r="X247" s="5"/>
      <c r="Y247" s="5"/>
      <c r="Z247" s="8"/>
      <c r="AA247" s="7"/>
      <c r="AB247" s="5"/>
      <c r="AC247" s="5"/>
      <c r="AD247" s="5"/>
      <c r="AE247" s="5"/>
      <c r="AF247" s="4"/>
      <c r="AG247" s="7"/>
      <c r="AH247" s="8"/>
      <c r="AI247" s="5"/>
      <c r="AJ247" s="7"/>
      <c r="AK247" s="8"/>
      <c r="AL247" s="9"/>
      <c r="AM247" s="9"/>
      <c r="AN247" s="5"/>
      <c r="AO247" s="5"/>
      <c r="AP247" s="6"/>
    </row>
    <row r="248" spans="10:42" x14ac:dyDescent="0.25">
      <c r="J248" s="2"/>
      <c r="K248" s="3"/>
      <c r="L248" s="6"/>
      <c r="M248" s="7"/>
      <c r="N248" s="8"/>
      <c r="O248" s="7"/>
      <c r="P248" s="5"/>
      <c r="Q248" s="8"/>
      <c r="R248" s="5"/>
      <c r="S248" s="5"/>
      <c r="T248" s="5"/>
      <c r="U248" s="5"/>
      <c r="V248" s="5"/>
      <c r="W248" s="5"/>
      <c r="X248" s="5"/>
      <c r="Y248" s="5"/>
      <c r="Z248" s="8"/>
      <c r="AA248" s="7"/>
      <c r="AB248" s="5"/>
      <c r="AC248" s="5"/>
      <c r="AD248" s="5"/>
      <c r="AE248" s="5"/>
      <c r="AF248" s="4"/>
      <c r="AG248" s="7"/>
      <c r="AH248" s="8"/>
      <c r="AI248" s="5"/>
      <c r="AJ248" s="7"/>
      <c r="AK248" s="8"/>
      <c r="AL248" s="9"/>
      <c r="AM248" s="9"/>
      <c r="AN248" s="5"/>
      <c r="AO248" s="5"/>
      <c r="AP248" s="6"/>
    </row>
    <row r="249" spans="10:42" x14ac:dyDescent="0.25">
      <c r="J249" s="9"/>
      <c r="K249" s="6"/>
      <c r="L249" s="6"/>
      <c r="M249" s="7"/>
      <c r="N249" s="8"/>
      <c r="O249" s="7"/>
      <c r="P249" s="7"/>
      <c r="Q249" s="8"/>
      <c r="R249" s="5"/>
      <c r="S249" s="5"/>
      <c r="T249" s="5"/>
      <c r="U249" s="5"/>
      <c r="V249" s="5"/>
      <c r="W249" s="5"/>
      <c r="X249" s="5"/>
      <c r="Y249" s="5"/>
      <c r="Z249" s="8"/>
      <c r="AA249" s="7"/>
      <c r="AB249" s="5"/>
      <c r="AC249" s="5"/>
      <c r="AD249" s="5"/>
      <c r="AE249" s="5"/>
      <c r="AF249" s="4"/>
      <c r="AG249" s="7"/>
      <c r="AH249" s="8"/>
      <c r="AI249" s="5"/>
      <c r="AJ249" s="7"/>
      <c r="AK249" s="4"/>
      <c r="AL249" s="9"/>
      <c r="AM249" s="9"/>
      <c r="AN249" s="5"/>
      <c r="AO249" s="5"/>
      <c r="AP249" s="6"/>
    </row>
    <row r="250" spans="10:42" x14ac:dyDescent="0.25">
      <c r="J250" s="2"/>
      <c r="K250" s="6"/>
      <c r="L250" s="6"/>
      <c r="M250" s="7"/>
      <c r="N250" s="8"/>
      <c r="O250" s="7"/>
      <c r="P250" s="5"/>
      <c r="Q250" s="8"/>
      <c r="R250" s="5"/>
      <c r="S250" s="5"/>
      <c r="T250" s="5"/>
      <c r="U250" s="5"/>
      <c r="V250" s="5"/>
      <c r="W250" s="5"/>
      <c r="X250" s="5"/>
      <c r="Y250" s="5"/>
      <c r="Z250" s="8"/>
      <c r="AA250" s="7"/>
      <c r="AB250" s="5"/>
      <c r="AC250" s="5"/>
      <c r="AD250" s="5"/>
      <c r="AE250" s="5"/>
      <c r="AF250" s="4"/>
      <c r="AG250" s="7"/>
      <c r="AH250" s="4"/>
      <c r="AI250" s="5"/>
      <c r="AJ250" s="7"/>
      <c r="AK250" s="8"/>
      <c r="AL250" s="9"/>
      <c r="AM250" s="9"/>
      <c r="AN250" s="5"/>
      <c r="AO250" s="5"/>
      <c r="AP250" s="6"/>
    </row>
    <row r="251" spans="10:42" x14ac:dyDescent="0.25">
      <c r="J251" s="2"/>
      <c r="K251" s="6"/>
      <c r="L251" s="6"/>
      <c r="M251" s="7"/>
      <c r="N251" s="8"/>
      <c r="O251" s="7"/>
      <c r="P251" s="7"/>
      <c r="Q251" s="8"/>
      <c r="R251" s="5"/>
      <c r="S251" s="5"/>
      <c r="T251" s="5"/>
      <c r="U251" s="5"/>
      <c r="V251" s="5"/>
      <c r="W251" s="5"/>
      <c r="X251" s="5"/>
      <c r="Y251" s="5"/>
      <c r="Z251" s="8"/>
      <c r="AA251" s="7"/>
      <c r="AB251" s="5"/>
      <c r="AC251" s="5"/>
      <c r="AD251" s="5"/>
      <c r="AE251" s="5"/>
      <c r="AF251" s="4"/>
      <c r="AG251" s="7"/>
      <c r="AH251" s="4"/>
      <c r="AI251" s="5"/>
      <c r="AJ251" s="7"/>
      <c r="AK251" s="8"/>
      <c r="AL251" s="9"/>
      <c r="AM251" s="2"/>
      <c r="AN251" s="5"/>
      <c r="AO251" s="5"/>
      <c r="AP251" s="6"/>
    </row>
    <row r="252" spans="10:42" x14ac:dyDescent="0.25">
      <c r="J252" s="2"/>
      <c r="K252" s="6"/>
      <c r="L252" s="6"/>
      <c r="M252" s="7"/>
      <c r="N252" s="8"/>
      <c r="O252" s="7"/>
      <c r="P252" s="7"/>
      <c r="Q252" s="8"/>
      <c r="R252" s="5"/>
      <c r="S252" s="5"/>
      <c r="T252" s="5"/>
      <c r="U252" s="5"/>
      <c r="V252" s="5"/>
      <c r="W252" s="5"/>
      <c r="X252" s="5"/>
      <c r="Y252" s="5"/>
      <c r="Z252" s="8"/>
      <c r="AA252" s="7"/>
      <c r="AB252" s="5"/>
      <c r="AC252" s="5"/>
      <c r="AD252" s="5"/>
      <c r="AE252" s="5"/>
      <c r="AF252" s="4"/>
      <c r="AG252" s="7"/>
      <c r="AH252" s="8"/>
      <c r="AI252" s="5"/>
      <c r="AJ252" s="7"/>
      <c r="AK252" s="8"/>
      <c r="AL252" s="9"/>
      <c r="AM252" s="9"/>
      <c r="AN252" s="5"/>
      <c r="AO252" s="5"/>
      <c r="AP252" s="6"/>
    </row>
    <row r="253" spans="10:42" x14ac:dyDescent="0.25">
      <c r="J253" s="2"/>
      <c r="K253" s="6"/>
      <c r="L253" s="6"/>
      <c r="M253" s="7"/>
      <c r="N253" s="8"/>
      <c r="O253" s="7"/>
      <c r="P253" s="7"/>
      <c r="Q253" s="8"/>
      <c r="R253" s="5"/>
      <c r="S253" s="5"/>
      <c r="T253" s="5"/>
      <c r="U253" s="5"/>
      <c r="V253" s="5"/>
      <c r="W253" s="5"/>
      <c r="X253" s="5"/>
      <c r="Y253" s="5"/>
      <c r="Z253" s="8"/>
      <c r="AA253" s="7"/>
      <c r="AB253" s="5"/>
      <c r="AC253" s="5"/>
      <c r="AD253" s="5"/>
      <c r="AE253" s="5"/>
      <c r="AF253" s="4"/>
      <c r="AG253" s="7"/>
      <c r="AH253" s="8"/>
      <c r="AI253" s="5"/>
      <c r="AJ253" s="7"/>
      <c r="AK253" s="8"/>
      <c r="AL253" s="9"/>
      <c r="AM253" s="9"/>
      <c r="AN253" s="5"/>
      <c r="AO253" s="5"/>
      <c r="AP253" s="6"/>
    </row>
    <row r="254" spans="10:42" x14ac:dyDescent="0.25">
      <c r="J254" s="2"/>
      <c r="K254" s="6"/>
      <c r="L254" s="6"/>
      <c r="M254" s="7"/>
      <c r="N254" s="8"/>
      <c r="O254" s="7"/>
      <c r="P254" s="7"/>
      <c r="Q254" s="8"/>
      <c r="R254" s="5"/>
      <c r="S254" s="5"/>
      <c r="T254" s="5"/>
      <c r="U254" s="5"/>
      <c r="V254" s="5"/>
      <c r="W254" s="5"/>
      <c r="X254" s="5"/>
      <c r="Y254" s="5"/>
      <c r="Z254" s="8"/>
      <c r="AA254" s="7"/>
      <c r="AB254" s="5"/>
      <c r="AC254" s="5"/>
      <c r="AD254" s="5"/>
      <c r="AE254" s="5"/>
      <c r="AF254" s="4"/>
      <c r="AG254" s="7"/>
      <c r="AH254" s="8"/>
      <c r="AI254" s="5"/>
      <c r="AJ254" s="7"/>
      <c r="AK254" s="8"/>
      <c r="AL254" s="9"/>
      <c r="AM254" s="9"/>
      <c r="AN254" s="5"/>
      <c r="AO254" s="5"/>
      <c r="AP254" s="6"/>
    </row>
    <row r="255" spans="10:42" x14ac:dyDescent="0.25">
      <c r="J255" s="2"/>
      <c r="K255" s="6"/>
      <c r="L255" s="6"/>
      <c r="M255" s="7"/>
      <c r="N255" s="8"/>
      <c r="O255" s="5"/>
      <c r="P255" s="5"/>
      <c r="Q255" s="8"/>
      <c r="R255" s="5"/>
      <c r="S255" s="5"/>
      <c r="T255" s="5"/>
      <c r="U255" s="5"/>
      <c r="V255" s="5"/>
      <c r="W255" s="5"/>
      <c r="X255" s="5"/>
      <c r="Y255" s="5"/>
      <c r="Z255" s="8"/>
      <c r="AA255" s="7"/>
      <c r="AB255" s="5"/>
      <c r="AC255" s="5"/>
      <c r="AD255" s="5"/>
      <c r="AE255" s="5"/>
      <c r="AF255" s="4"/>
      <c r="AG255" s="7"/>
      <c r="AH255" s="4"/>
      <c r="AI255" s="5"/>
      <c r="AJ255" s="7"/>
      <c r="AK255" s="8"/>
      <c r="AL255" s="9"/>
      <c r="AM255" s="9"/>
      <c r="AN255" s="5"/>
      <c r="AO255" s="5"/>
      <c r="AP255" s="6"/>
    </row>
    <row r="256" spans="10:42" x14ac:dyDescent="0.25">
      <c r="J256" s="2"/>
      <c r="K256" s="6"/>
      <c r="L256" s="6"/>
      <c r="M256" s="7"/>
      <c r="N256" s="8"/>
      <c r="O256" s="5"/>
      <c r="P256" s="7"/>
      <c r="Q256" s="8"/>
      <c r="R256" s="5"/>
      <c r="S256" s="5"/>
      <c r="T256" s="5"/>
      <c r="U256" s="5"/>
      <c r="V256" s="5"/>
      <c r="W256" s="5"/>
      <c r="X256" s="5"/>
      <c r="Y256" s="5"/>
      <c r="Z256" s="8"/>
      <c r="AA256" s="7"/>
      <c r="AB256" s="5"/>
      <c r="AC256" s="5"/>
      <c r="AD256" s="5"/>
      <c r="AE256" s="5"/>
      <c r="AF256" s="4"/>
      <c r="AG256" s="7"/>
      <c r="AI256" s="5"/>
      <c r="AJ256" s="7"/>
      <c r="AK256" s="8"/>
      <c r="AL256" s="9"/>
      <c r="AM256" s="9"/>
      <c r="AN256" s="5"/>
      <c r="AO256" s="5"/>
      <c r="AP256" s="6"/>
    </row>
    <row r="257" spans="10:42" x14ac:dyDescent="0.25">
      <c r="J257" s="2"/>
      <c r="K257" s="6"/>
      <c r="L257" s="6"/>
      <c r="M257" s="7"/>
      <c r="N257" s="8"/>
      <c r="O257" s="7"/>
      <c r="P257" s="7"/>
      <c r="Q257" s="8"/>
      <c r="R257" s="5"/>
      <c r="S257" s="5"/>
      <c r="T257" s="5"/>
      <c r="U257" s="5"/>
      <c r="V257" s="5"/>
      <c r="W257" s="5"/>
      <c r="X257" s="5"/>
      <c r="Y257" s="5"/>
      <c r="Z257" s="8"/>
      <c r="AA257" s="7"/>
      <c r="AB257" s="5"/>
      <c r="AC257" s="5"/>
      <c r="AD257" s="5"/>
      <c r="AE257" s="5"/>
      <c r="AF257" s="4"/>
      <c r="AG257" s="7"/>
      <c r="AH257" s="4"/>
      <c r="AI257" s="5"/>
      <c r="AJ257" s="7"/>
      <c r="AK257" s="8"/>
      <c r="AL257" s="9"/>
      <c r="AM257" s="9"/>
      <c r="AN257" s="5"/>
      <c r="AO257" s="5"/>
      <c r="AP257" s="6"/>
    </row>
    <row r="258" spans="10:42" x14ac:dyDescent="0.25">
      <c r="J258" s="2"/>
      <c r="K258" s="6"/>
      <c r="L258" s="6"/>
      <c r="M258" s="7"/>
      <c r="N258" s="8"/>
      <c r="O258" s="7"/>
      <c r="P258" s="7"/>
      <c r="Q258" s="8"/>
      <c r="R258" s="5"/>
      <c r="S258" s="5"/>
      <c r="T258" s="5"/>
      <c r="U258" s="5"/>
      <c r="V258" s="5"/>
      <c r="W258" s="5"/>
      <c r="X258" s="5"/>
      <c r="Y258" s="5"/>
      <c r="Z258" s="8"/>
      <c r="AA258" s="7"/>
      <c r="AB258" s="5"/>
      <c r="AC258" s="5"/>
      <c r="AD258" s="5"/>
      <c r="AE258" s="5"/>
      <c r="AF258" s="4"/>
      <c r="AG258" s="7"/>
      <c r="AH258" s="8"/>
      <c r="AI258" s="5"/>
      <c r="AJ258" s="7"/>
      <c r="AK258" s="8"/>
      <c r="AL258" s="9"/>
      <c r="AM258" s="9"/>
      <c r="AN258" s="5"/>
      <c r="AO258" s="5"/>
      <c r="AP258" s="6"/>
    </row>
    <row r="259" spans="10:42" x14ac:dyDescent="0.25">
      <c r="J259" s="2"/>
      <c r="K259" s="6"/>
      <c r="L259" s="6"/>
      <c r="M259" s="7"/>
      <c r="N259" s="8"/>
      <c r="O259" s="7"/>
      <c r="P259" s="7"/>
      <c r="Q259" s="8"/>
      <c r="R259" s="5"/>
      <c r="S259" s="5"/>
      <c r="T259" s="5"/>
      <c r="U259" s="5"/>
      <c r="V259" s="5"/>
      <c r="W259" s="5"/>
      <c r="X259" s="5"/>
      <c r="Y259" s="5"/>
      <c r="Z259" s="8"/>
      <c r="AA259" s="7"/>
      <c r="AB259" s="5"/>
      <c r="AC259" s="5"/>
      <c r="AD259" s="5"/>
      <c r="AE259" s="5"/>
      <c r="AF259" s="4"/>
      <c r="AG259" s="7"/>
      <c r="AH259" s="8"/>
      <c r="AI259" s="5"/>
      <c r="AJ259" s="7"/>
      <c r="AK259" s="8"/>
      <c r="AL259" s="9"/>
      <c r="AM259" s="9"/>
      <c r="AN259" s="5"/>
      <c r="AO259" s="5"/>
      <c r="AP259" s="6"/>
    </row>
    <row r="260" spans="10:42" x14ac:dyDescent="0.25">
      <c r="J260" s="2"/>
      <c r="K260" s="6"/>
      <c r="L260" s="6"/>
      <c r="M260" s="7"/>
      <c r="N260" s="8"/>
      <c r="O260" s="5"/>
      <c r="P260" s="5"/>
      <c r="Q260" s="8"/>
      <c r="R260" s="5"/>
      <c r="S260" s="5"/>
      <c r="T260" s="5"/>
      <c r="U260" s="5"/>
      <c r="V260" s="5"/>
      <c r="W260" s="5"/>
      <c r="X260" s="5"/>
      <c r="Y260" s="5"/>
      <c r="Z260" s="8"/>
      <c r="AA260" s="7"/>
      <c r="AB260" s="5"/>
      <c r="AC260" s="5"/>
      <c r="AD260" s="5"/>
      <c r="AE260" s="5"/>
      <c r="AF260" s="4"/>
      <c r="AG260" s="7"/>
      <c r="AI260" s="5"/>
      <c r="AJ260" s="7"/>
      <c r="AK260" s="8"/>
      <c r="AL260" s="9"/>
      <c r="AM260" s="9"/>
      <c r="AN260" s="5"/>
      <c r="AO260" s="5"/>
      <c r="AP260" s="6"/>
    </row>
    <row r="261" spans="10:42" x14ac:dyDescent="0.25">
      <c r="J261" s="2"/>
      <c r="K261" s="6"/>
      <c r="L261" s="6"/>
      <c r="M261" s="7"/>
      <c r="N261" s="8"/>
      <c r="O261" s="7"/>
      <c r="P261" s="7"/>
      <c r="Q261" s="8"/>
      <c r="R261" s="5"/>
      <c r="S261" s="5"/>
      <c r="T261" s="5"/>
      <c r="U261" s="5"/>
      <c r="V261" s="5"/>
      <c r="W261" s="5"/>
      <c r="X261" s="5"/>
      <c r="Y261" s="5"/>
      <c r="Z261" s="8"/>
      <c r="AA261" s="7"/>
      <c r="AB261" s="5"/>
      <c r="AC261" s="5"/>
      <c r="AD261" s="5"/>
      <c r="AE261" s="5"/>
      <c r="AF261" s="4"/>
      <c r="AG261" s="7"/>
      <c r="AH261" s="8"/>
      <c r="AI261" s="5"/>
      <c r="AJ261" s="7"/>
      <c r="AK261" s="8"/>
      <c r="AL261" s="9"/>
      <c r="AM261" s="9"/>
      <c r="AN261" s="5"/>
      <c r="AO261" s="5"/>
      <c r="AP261" s="6"/>
    </row>
    <row r="262" spans="10:42" x14ac:dyDescent="0.25">
      <c r="J262" s="2"/>
      <c r="K262" s="6"/>
      <c r="L262" s="6"/>
      <c r="M262" s="7"/>
      <c r="N262" s="8"/>
      <c r="O262" s="7"/>
      <c r="P262" s="7"/>
      <c r="Q262" s="8"/>
      <c r="R262" s="5"/>
      <c r="S262" s="5"/>
      <c r="T262" s="5"/>
      <c r="U262" s="5"/>
      <c r="V262" s="5"/>
      <c r="W262" s="5"/>
      <c r="X262" s="5"/>
      <c r="Y262" s="5"/>
      <c r="Z262" s="8"/>
      <c r="AA262" s="7"/>
      <c r="AB262" s="5"/>
      <c r="AC262" s="5"/>
      <c r="AD262" s="5"/>
      <c r="AE262" s="5"/>
      <c r="AF262" s="4"/>
      <c r="AG262" s="7"/>
      <c r="AH262" s="4"/>
      <c r="AI262" s="5"/>
      <c r="AJ262" s="7"/>
      <c r="AK262" s="8"/>
      <c r="AL262" s="9"/>
      <c r="AM262" s="9"/>
      <c r="AN262" s="5"/>
      <c r="AO262" s="5"/>
      <c r="AP262" s="6"/>
    </row>
    <row r="263" spans="10:42" x14ac:dyDescent="0.25">
      <c r="J263" s="2"/>
      <c r="K263" s="6"/>
      <c r="L263" s="6"/>
      <c r="M263" s="7"/>
      <c r="N263" s="8"/>
      <c r="O263" s="7"/>
      <c r="P263" s="7"/>
      <c r="Q263" s="8"/>
      <c r="R263" s="5"/>
      <c r="S263" s="5"/>
      <c r="T263" s="5"/>
      <c r="U263" s="5"/>
      <c r="V263" s="5"/>
      <c r="W263" s="5"/>
      <c r="X263" s="5"/>
      <c r="Y263" s="5"/>
      <c r="Z263" s="8"/>
      <c r="AA263" s="7"/>
      <c r="AB263" s="5"/>
      <c r="AC263" s="5"/>
      <c r="AD263" s="5"/>
      <c r="AE263" s="5"/>
      <c r="AF263" s="4"/>
      <c r="AG263" s="7"/>
      <c r="AH263" s="8"/>
      <c r="AI263" s="5"/>
      <c r="AJ263" s="7"/>
      <c r="AK263" s="8"/>
      <c r="AL263" s="9"/>
      <c r="AM263" s="9"/>
      <c r="AN263" s="5"/>
      <c r="AO263" s="5"/>
      <c r="AP263" s="6"/>
    </row>
    <row r="264" spans="10:42" x14ac:dyDescent="0.25">
      <c r="J264" s="2"/>
      <c r="K264" s="6"/>
      <c r="L264" s="6"/>
      <c r="M264" s="7"/>
      <c r="N264" s="8"/>
      <c r="O264" s="7"/>
      <c r="P264" s="7"/>
      <c r="Q264" s="8"/>
      <c r="R264" s="5"/>
      <c r="S264" s="5"/>
      <c r="T264" s="5"/>
      <c r="U264" s="5"/>
      <c r="V264" s="5"/>
      <c r="W264" s="5"/>
      <c r="X264" s="5"/>
      <c r="Y264" s="5"/>
      <c r="Z264" s="8"/>
      <c r="AA264" s="7"/>
      <c r="AB264" s="5"/>
      <c r="AC264" s="5"/>
      <c r="AD264" s="5"/>
      <c r="AE264" s="5"/>
      <c r="AF264" s="4"/>
      <c r="AG264" s="7"/>
      <c r="AH264" s="8"/>
      <c r="AI264" s="5"/>
      <c r="AJ264" s="7"/>
      <c r="AK264" s="8"/>
      <c r="AL264" s="9"/>
      <c r="AM264" s="9"/>
      <c r="AN264" s="5"/>
      <c r="AO264" s="5"/>
      <c r="AP264" s="6"/>
    </row>
    <row r="265" spans="10:42" x14ac:dyDescent="0.25">
      <c r="J265" s="2"/>
      <c r="K265" s="6"/>
      <c r="L265" s="6"/>
      <c r="M265" s="7"/>
      <c r="N265" s="8"/>
      <c r="O265" s="7"/>
      <c r="P265" s="5"/>
      <c r="Q265" s="8"/>
      <c r="R265" s="5"/>
      <c r="S265" s="5"/>
      <c r="T265" s="5"/>
      <c r="U265" s="5"/>
      <c r="V265" s="5"/>
      <c r="W265" s="5"/>
      <c r="X265" s="5"/>
      <c r="Y265" s="5"/>
      <c r="Z265" s="8"/>
      <c r="AA265" s="7"/>
      <c r="AB265" s="5"/>
      <c r="AC265" s="5"/>
      <c r="AD265" s="5"/>
      <c r="AE265" s="5"/>
      <c r="AF265" s="4"/>
      <c r="AG265" s="7"/>
      <c r="AH265" s="4"/>
      <c r="AI265" s="5"/>
      <c r="AJ265" s="7"/>
      <c r="AK265" s="8"/>
      <c r="AL265" s="9"/>
      <c r="AM265" s="9"/>
      <c r="AN265" s="5"/>
      <c r="AO265" s="5"/>
      <c r="AP265" s="6"/>
    </row>
    <row r="266" spans="10:42" x14ac:dyDescent="0.25">
      <c r="J266" s="2"/>
      <c r="K266" s="6"/>
      <c r="L266" s="6"/>
      <c r="M266" s="7"/>
      <c r="N266" s="8"/>
      <c r="O266" s="7"/>
      <c r="P266" s="7"/>
      <c r="Q266" s="8"/>
      <c r="R266" s="5"/>
      <c r="S266" s="5"/>
      <c r="T266" s="5"/>
      <c r="U266" s="5"/>
      <c r="V266" s="5"/>
      <c r="W266" s="5"/>
      <c r="X266" s="5"/>
      <c r="Y266" s="5"/>
      <c r="Z266" s="8"/>
      <c r="AA266" s="7"/>
      <c r="AB266" s="5"/>
      <c r="AC266" s="5"/>
      <c r="AD266" s="5"/>
      <c r="AE266" s="5"/>
      <c r="AF266" s="4"/>
      <c r="AG266" s="7"/>
      <c r="AH266" s="4"/>
      <c r="AI266" s="5"/>
      <c r="AJ266" s="7"/>
      <c r="AK266" s="8"/>
      <c r="AL266" s="9"/>
      <c r="AM266" s="9"/>
      <c r="AN266" s="5"/>
      <c r="AO266" s="5"/>
      <c r="AP266" s="6"/>
    </row>
    <row r="267" spans="10:42" x14ac:dyDescent="0.25">
      <c r="J267" s="2"/>
      <c r="K267" s="6"/>
      <c r="L267" s="6"/>
      <c r="M267" s="7"/>
      <c r="N267" s="8"/>
      <c r="O267" s="7"/>
      <c r="P267" s="7"/>
      <c r="Q267" s="8"/>
      <c r="R267" s="5"/>
      <c r="S267" s="5"/>
      <c r="T267" s="5"/>
      <c r="U267" s="5"/>
      <c r="V267" s="5"/>
      <c r="W267" s="5"/>
      <c r="X267" s="5"/>
      <c r="Y267" s="5"/>
      <c r="Z267" s="8"/>
      <c r="AA267" s="7"/>
      <c r="AB267" s="5"/>
      <c r="AC267" s="5"/>
      <c r="AD267" s="5"/>
      <c r="AE267" s="5"/>
      <c r="AF267" s="4"/>
      <c r="AG267" s="7"/>
      <c r="AH267" s="8"/>
      <c r="AI267" s="5"/>
      <c r="AJ267" s="7"/>
      <c r="AK267" s="8"/>
      <c r="AL267" s="9"/>
      <c r="AM267" s="9"/>
      <c r="AN267" s="5"/>
      <c r="AO267" s="5"/>
      <c r="AP267" s="6"/>
    </row>
    <row r="268" spans="10:42" x14ac:dyDescent="0.25">
      <c r="J268" s="2"/>
      <c r="K268" s="6"/>
      <c r="L268" s="6"/>
      <c r="M268" s="7"/>
      <c r="N268" s="8"/>
      <c r="O268" s="7"/>
      <c r="P268" s="7"/>
      <c r="Q268" s="8"/>
      <c r="R268" s="5"/>
      <c r="S268" s="5"/>
      <c r="T268" s="5"/>
      <c r="U268" s="5"/>
      <c r="V268" s="5"/>
      <c r="W268" s="5"/>
      <c r="X268" s="5"/>
      <c r="Y268" s="5"/>
      <c r="Z268" s="8"/>
      <c r="AA268" s="7"/>
      <c r="AB268" s="5"/>
      <c r="AC268" s="5"/>
      <c r="AD268" s="5"/>
      <c r="AE268" s="5"/>
      <c r="AF268" s="4"/>
      <c r="AG268" s="7"/>
      <c r="AH268" s="4"/>
      <c r="AI268" s="5"/>
      <c r="AJ268" s="7"/>
      <c r="AK268" s="8"/>
      <c r="AL268" s="9"/>
      <c r="AM268" s="9"/>
      <c r="AN268" s="5"/>
      <c r="AO268" s="5"/>
      <c r="AP268" s="6"/>
    </row>
    <row r="269" spans="10:42" x14ac:dyDescent="0.25">
      <c r="J269" s="2"/>
      <c r="K269" s="6"/>
      <c r="L269" s="6"/>
      <c r="M269" s="7"/>
      <c r="N269" s="8"/>
      <c r="O269" s="7"/>
      <c r="P269" s="7"/>
      <c r="Q269" s="8"/>
      <c r="R269" s="5"/>
      <c r="S269" s="5"/>
      <c r="T269" s="5"/>
      <c r="U269" s="5"/>
      <c r="V269" s="5"/>
      <c r="W269" s="5"/>
      <c r="X269" s="5"/>
      <c r="Y269" s="5"/>
      <c r="Z269" s="8"/>
      <c r="AA269" s="7"/>
      <c r="AB269" s="5"/>
      <c r="AC269" s="5"/>
      <c r="AD269" s="5"/>
      <c r="AE269" s="5"/>
      <c r="AF269" s="4"/>
      <c r="AG269" s="7"/>
      <c r="AH269" s="8"/>
      <c r="AI269" s="5"/>
      <c r="AJ269" s="7"/>
      <c r="AK269" s="8"/>
      <c r="AL269" s="9"/>
      <c r="AM269" s="9"/>
      <c r="AN269" s="5"/>
      <c r="AO269" s="5"/>
      <c r="AP269" s="6"/>
    </row>
    <row r="270" spans="10:42" x14ac:dyDescent="0.25">
      <c r="J270" s="2"/>
      <c r="K270" s="6"/>
      <c r="L270" s="6"/>
      <c r="M270" s="7"/>
      <c r="N270" s="8"/>
      <c r="O270" s="5"/>
      <c r="P270" s="7"/>
      <c r="Q270" s="8"/>
      <c r="R270" s="5"/>
      <c r="S270" s="5"/>
      <c r="T270" s="5"/>
      <c r="U270" s="5"/>
      <c r="V270" s="5"/>
      <c r="W270" s="5"/>
      <c r="X270" s="5"/>
      <c r="Y270" s="5"/>
      <c r="Z270" s="8"/>
      <c r="AA270" s="7"/>
      <c r="AB270" s="5"/>
      <c r="AC270" s="5"/>
      <c r="AD270" s="5"/>
      <c r="AE270" s="5"/>
      <c r="AF270" s="4"/>
      <c r="AG270" s="7"/>
      <c r="AI270" s="5"/>
      <c r="AJ270" s="7"/>
      <c r="AK270" s="8"/>
      <c r="AL270" s="9"/>
      <c r="AM270" s="9"/>
      <c r="AN270" s="5"/>
      <c r="AO270" s="5"/>
      <c r="AP270" s="6"/>
    </row>
    <row r="271" spans="10:42" x14ac:dyDescent="0.25">
      <c r="J271" s="2"/>
      <c r="K271" s="6"/>
      <c r="L271" s="6"/>
      <c r="M271" s="7"/>
      <c r="N271" s="8"/>
      <c r="O271" s="5"/>
      <c r="P271" s="7"/>
      <c r="Q271" s="8"/>
      <c r="R271" s="5"/>
      <c r="S271" s="5"/>
      <c r="T271" s="5"/>
      <c r="U271" s="5"/>
      <c r="V271" s="5"/>
      <c r="W271" s="5"/>
      <c r="X271" s="5"/>
      <c r="Y271" s="5"/>
      <c r="Z271" s="8"/>
      <c r="AA271" s="7"/>
      <c r="AB271" s="5"/>
      <c r="AC271" s="5"/>
      <c r="AD271" s="5"/>
      <c r="AE271" s="5"/>
      <c r="AF271" s="4"/>
      <c r="AG271" s="7"/>
      <c r="AH271" s="4"/>
      <c r="AI271" s="5"/>
      <c r="AJ271" s="7"/>
      <c r="AK271" s="8"/>
      <c r="AL271" s="9"/>
      <c r="AM271" s="9"/>
      <c r="AN271" s="5"/>
      <c r="AO271" s="5"/>
      <c r="AP271" s="6"/>
    </row>
    <row r="272" spans="10:42" x14ac:dyDescent="0.25">
      <c r="J272" s="2"/>
      <c r="K272" s="6"/>
      <c r="L272" s="6"/>
      <c r="M272" s="7"/>
      <c r="N272" s="8"/>
      <c r="O272" s="7"/>
      <c r="P272" s="7"/>
      <c r="Q272" s="8"/>
      <c r="R272" s="5"/>
      <c r="S272" s="5"/>
      <c r="T272" s="5"/>
      <c r="U272" s="5"/>
      <c r="V272" s="5"/>
      <c r="W272" s="5"/>
      <c r="X272" s="5"/>
      <c r="Y272" s="5"/>
      <c r="Z272" s="8"/>
      <c r="AA272" s="7"/>
      <c r="AB272" s="5"/>
      <c r="AC272" s="5"/>
      <c r="AD272" s="5"/>
      <c r="AE272" s="5"/>
      <c r="AF272" s="4"/>
      <c r="AG272" s="7"/>
      <c r="AH272" s="8"/>
      <c r="AI272" s="5"/>
      <c r="AJ272" s="7"/>
      <c r="AK272" s="8"/>
      <c r="AL272" s="9"/>
      <c r="AM272" s="9"/>
      <c r="AN272" s="5"/>
      <c r="AO272" s="5"/>
      <c r="AP272" s="6"/>
    </row>
    <row r="273" spans="10:42" x14ac:dyDescent="0.25">
      <c r="J273" s="2"/>
      <c r="K273" s="6"/>
      <c r="L273" s="6"/>
      <c r="M273" s="7"/>
      <c r="N273" s="8"/>
      <c r="O273" s="7"/>
      <c r="P273" s="7"/>
      <c r="Q273" s="8"/>
      <c r="R273" s="5"/>
      <c r="S273" s="5"/>
      <c r="T273" s="5"/>
      <c r="U273" s="5"/>
      <c r="V273" s="5"/>
      <c r="W273" s="5"/>
      <c r="X273" s="5"/>
      <c r="Y273" s="5"/>
      <c r="Z273" s="8"/>
      <c r="AA273" s="7"/>
      <c r="AB273" s="5"/>
      <c r="AC273" s="5"/>
      <c r="AD273" s="5"/>
      <c r="AE273" s="5"/>
      <c r="AF273" s="4"/>
      <c r="AG273" s="7"/>
      <c r="AH273" s="8"/>
      <c r="AI273" s="5"/>
      <c r="AJ273" s="7"/>
      <c r="AK273" s="8"/>
      <c r="AL273" s="9"/>
      <c r="AM273" s="9"/>
      <c r="AN273" s="5"/>
      <c r="AO273" s="5"/>
      <c r="AP273" s="6"/>
    </row>
    <row r="274" spans="10:42" x14ac:dyDescent="0.25">
      <c r="J274" s="2"/>
      <c r="K274" s="6"/>
      <c r="L274" s="6"/>
      <c r="M274" s="7"/>
      <c r="N274" s="8"/>
      <c r="O274" s="7"/>
      <c r="P274" s="7"/>
      <c r="Q274" s="8"/>
      <c r="R274" s="5"/>
      <c r="S274" s="5"/>
      <c r="T274" s="5"/>
      <c r="U274" s="5"/>
      <c r="V274" s="5"/>
      <c r="W274" s="5"/>
      <c r="X274" s="5"/>
      <c r="Y274" s="5"/>
      <c r="Z274" s="8"/>
      <c r="AA274" s="7"/>
      <c r="AB274" s="5"/>
      <c r="AC274" s="5"/>
      <c r="AD274" s="5"/>
      <c r="AE274" s="5"/>
      <c r="AF274" s="4"/>
      <c r="AG274" s="7"/>
      <c r="AH274" s="8"/>
      <c r="AI274" s="5"/>
      <c r="AJ274" s="7"/>
      <c r="AK274" s="8"/>
      <c r="AL274" s="9"/>
      <c r="AM274" s="9"/>
      <c r="AN274" s="5"/>
      <c r="AO274" s="5"/>
      <c r="AP274" s="6"/>
    </row>
    <row r="275" spans="10:42" x14ac:dyDescent="0.25">
      <c r="J275" s="2"/>
      <c r="K275" s="6"/>
      <c r="L275" s="6"/>
      <c r="M275" s="5"/>
      <c r="N275" s="4"/>
      <c r="O275" s="5"/>
      <c r="P275" s="5"/>
      <c r="Q275" s="8"/>
      <c r="R275" s="5"/>
      <c r="S275" s="5"/>
      <c r="T275" s="5"/>
      <c r="U275" s="5"/>
      <c r="V275" s="5"/>
      <c r="W275" s="5"/>
      <c r="X275" s="5"/>
      <c r="Y275" s="5"/>
      <c r="Z275" s="8"/>
      <c r="AA275" s="5"/>
      <c r="AB275" s="5"/>
      <c r="AC275" s="5"/>
      <c r="AD275" s="5"/>
      <c r="AE275" s="5"/>
      <c r="AF275" s="4"/>
      <c r="AG275" s="7"/>
      <c r="AI275" s="5"/>
      <c r="AJ275" s="7"/>
      <c r="AK275" s="8"/>
      <c r="AL275" s="9"/>
      <c r="AM275" s="9"/>
      <c r="AN275" s="5"/>
      <c r="AO275" s="5"/>
      <c r="AP275" s="6"/>
    </row>
    <row r="276" spans="10:42" x14ac:dyDescent="0.25">
      <c r="J276" s="2"/>
      <c r="K276" s="6"/>
      <c r="L276" s="6"/>
      <c r="M276" s="7"/>
      <c r="N276" s="8"/>
      <c r="O276" s="7"/>
      <c r="P276" s="7"/>
      <c r="Q276" s="8"/>
      <c r="R276" s="5"/>
      <c r="S276" s="5"/>
      <c r="T276" s="5"/>
      <c r="U276" s="5"/>
      <c r="V276" s="5"/>
      <c r="W276" s="5"/>
      <c r="X276" s="5"/>
      <c r="Y276" s="5"/>
      <c r="Z276" s="8"/>
      <c r="AA276" s="7"/>
      <c r="AB276" s="5"/>
      <c r="AC276" s="5"/>
      <c r="AD276" s="5"/>
      <c r="AE276" s="5"/>
      <c r="AF276" s="4"/>
      <c r="AG276" s="7"/>
      <c r="AH276" s="4"/>
      <c r="AI276" s="5"/>
      <c r="AJ276" s="7"/>
      <c r="AK276" s="8"/>
      <c r="AL276" s="9"/>
      <c r="AM276" s="9"/>
      <c r="AN276" s="5"/>
      <c r="AO276" s="5"/>
      <c r="AP276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08"/>
  <sheetViews>
    <sheetView workbookViewId="0"/>
  </sheetViews>
  <sheetFormatPr defaultRowHeight="15" x14ac:dyDescent="0.25"/>
  <cols>
    <col min="1" max="1" width="50" customWidth="1"/>
    <col min="2" max="3" width="100" customWidth="1"/>
  </cols>
  <sheetData>
    <row r="1" spans="1:4" x14ac:dyDescent="0.25">
      <c r="A1" s="10" t="s">
        <v>43</v>
      </c>
      <c r="B1" s="10" t="s">
        <v>44</v>
      </c>
      <c r="C1" s="10" t="s">
        <v>45</v>
      </c>
      <c r="D1" s="10" t="s">
        <v>46</v>
      </c>
    </row>
    <row r="2" spans="1:4" ht="30" x14ac:dyDescent="0.25">
      <c r="A2" s="11" t="s">
        <v>47</v>
      </c>
      <c r="B2" s="11" t="s">
        <v>9</v>
      </c>
      <c r="C2" s="11" t="s">
        <v>48</v>
      </c>
      <c r="D2" s="11" t="s">
        <v>49</v>
      </c>
    </row>
    <row r="3" spans="1:4" x14ac:dyDescent="0.25">
      <c r="A3" s="11" t="s">
        <v>50</v>
      </c>
      <c r="B3" s="11" t="s">
        <v>51</v>
      </c>
      <c r="D3" s="11" t="s">
        <v>49</v>
      </c>
    </row>
    <row r="4" spans="1:4" x14ac:dyDescent="0.25">
      <c r="A4" s="11" t="s">
        <v>52</v>
      </c>
      <c r="B4" s="11" t="s">
        <v>53</v>
      </c>
      <c r="D4" s="11" t="s">
        <v>49</v>
      </c>
    </row>
    <row r="5" spans="1:4" x14ac:dyDescent="0.25">
      <c r="A5" s="11" t="s">
        <v>54</v>
      </c>
      <c r="B5" s="11" t="s">
        <v>55</v>
      </c>
      <c r="D5" s="11" t="s">
        <v>49</v>
      </c>
    </row>
    <row r="6" spans="1:4" x14ac:dyDescent="0.25">
      <c r="A6" s="11" t="s">
        <v>56</v>
      </c>
      <c r="B6" s="11" t="s">
        <v>57</v>
      </c>
      <c r="D6" s="11" t="s">
        <v>49</v>
      </c>
    </row>
    <row r="7" spans="1:4" x14ac:dyDescent="0.25">
      <c r="A7" s="11" t="s">
        <v>58</v>
      </c>
      <c r="B7" s="11" t="s">
        <v>59</v>
      </c>
      <c r="D7" s="11" t="s">
        <v>49</v>
      </c>
    </row>
    <row r="8" spans="1:4" x14ac:dyDescent="0.25">
      <c r="A8" s="11" t="s">
        <v>60</v>
      </c>
      <c r="B8" s="11" t="s">
        <v>61</v>
      </c>
      <c r="D8" s="11" t="s">
        <v>49</v>
      </c>
    </row>
    <row r="9" spans="1:4" x14ac:dyDescent="0.25">
      <c r="A9" s="11" t="s">
        <v>62</v>
      </c>
      <c r="B9" s="11" t="s">
        <v>63</v>
      </c>
      <c r="D9" s="11" t="s">
        <v>49</v>
      </c>
    </row>
    <row r="10" spans="1:4" x14ac:dyDescent="0.25">
      <c r="A10" s="11" t="s">
        <v>64</v>
      </c>
      <c r="B10" s="11" t="s">
        <v>65</v>
      </c>
      <c r="D10" s="11" t="s">
        <v>49</v>
      </c>
    </row>
    <row r="11" spans="1:4" x14ac:dyDescent="0.25">
      <c r="A11" s="11" t="s">
        <v>66</v>
      </c>
      <c r="B11" s="11" t="s">
        <v>10</v>
      </c>
      <c r="C11" s="11" t="s">
        <v>67</v>
      </c>
      <c r="D11" s="11" t="s">
        <v>49</v>
      </c>
    </row>
    <row r="12" spans="1:4" x14ac:dyDescent="0.25">
      <c r="A12" s="11" t="s">
        <v>68</v>
      </c>
      <c r="B12" s="11" t="s">
        <v>69</v>
      </c>
      <c r="D12" s="11" t="s">
        <v>49</v>
      </c>
    </row>
    <row r="13" spans="1:4" x14ac:dyDescent="0.25">
      <c r="A13" s="11" t="s">
        <v>70</v>
      </c>
      <c r="B13" s="11" t="s">
        <v>71</v>
      </c>
      <c r="D13" s="11" t="s">
        <v>49</v>
      </c>
    </row>
    <row r="14" spans="1:4" ht="180" x14ac:dyDescent="0.25">
      <c r="A14" s="11" t="s">
        <v>72</v>
      </c>
      <c r="B14" s="11" t="s">
        <v>11</v>
      </c>
      <c r="C14" s="11" t="s">
        <v>73</v>
      </c>
      <c r="D14" s="11" t="s">
        <v>49</v>
      </c>
    </row>
    <row r="15" spans="1:4" x14ac:dyDescent="0.25">
      <c r="A15" s="11" t="s">
        <v>74</v>
      </c>
      <c r="B15" s="11" t="s">
        <v>75</v>
      </c>
      <c r="D15" s="11" t="s">
        <v>49</v>
      </c>
    </row>
    <row r="16" spans="1:4" x14ac:dyDescent="0.25">
      <c r="A16" s="11" t="s">
        <v>76</v>
      </c>
      <c r="B16" s="11" t="s">
        <v>77</v>
      </c>
      <c r="D16" s="11" t="s">
        <v>49</v>
      </c>
    </row>
    <row r="17" spans="1:4" x14ac:dyDescent="0.25">
      <c r="A17" s="11" t="s">
        <v>78</v>
      </c>
      <c r="B17" s="11" t="s">
        <v>79</v>
      </c>
      <c r="D17" s="11" t="s">
        <v>49</v>
      </c>
    </row>
    <row r="18" spans="1:4" x14ac:dyDescent="0.25">
      <c r="A18" s="11" t="s">
        <v>80</v>
      </c>
      <c r="B18" s="11" t="s">
        <v>81</v>
      </c>
      <c r="D18" s="11" t="s">
        <v>49</v>
      </c>
    </row>
    <row r="19" spans="1:4" x14ac:dyDescent="0.25">
      <c r="A19" s="11" t="s">
        <v>82</v>
      </c>
      <c r="B19" s="11" t="s">
        <v>83</v>
      </c>
      <c r="D19" s="11" t="s">
        <v>49</v>
      </c>
    </row>
    <row r="20" spans="1:4" x14ac:dyDescent="0.25">
      <c r="A20" s="11" t="s">
        <v>84</v>
      </c>
      <c r="B20" s="11" t="s">
        <v>85</v>
      </c>
      <c r="D20" s="11" t="s">
        <v>49</v>
      </c>
    </row>
    <row r="21" spans="1:4" x14ac:dyDescent="0.25">
      <c r="A21" s="11" t="s">
        <v>86</v>
      </c>
      <c r="B21" s="11" t="s">
        <v>87</v>
      </c>
      <c r="D21" s="11" t="s">
        <v>49</v>
      </c>
    </row>
    <row r="22" spans="1:4" x14ac:dyDescent="0.25">
      <c r="A22" s="11" t="s">
        <v>88</v>
      </c>
      <c r="B22" s="11" t="s">
        <v>89</v>
      </c>
      <c r="D22" s="11" t="s">
        <v>49</v>
      </c>
    </row>
    <row r="23" spans="1:4" x14ac:dyDescent="0.25">
      <c r="A23" s="11" t="s">
        <v>90</v>
      </c>
      <c r="B23" s="11" t="s">
        <v>91</v>
      </c>
      <c r="D23" s="11" t="s">
        <v>49</v>
      </c>
    </row>
    <row r="24" spans="1:4" x14ac:dyDescent="0.25">
      <c r="A24" s="11" t="s">
        <v>92</v>
      </c>
      <c r="B24" s="11" t="s">
        <v>93</v>
      </c>
      <c r="D24" s="11" t="s">
        <v>49</v>
      </c>
    </row>
    <row r="25" spans="1:4" x14ac:dyDescent="0.25">
      <c r="A25" s="11" t="s">
        <v>94</v>
      </c>
      <c r="B25" s="11" t="s">
        <v>95</v>
      </c>
      <c r="D25" s="11" t="s">
        <v>49</v>
      </c>
    </row>
    <row r="26" spans="1:4" x14ac:dyDescent="0.25">
      <c r="A26" s="11" t="s">
        <v>96</v>
      </c>
      <c r="B26" s="11" t="s">
        <v>97</v>
      </c>
      <c r="D26" s="11" t="s">
        <v>49</v>
      </c>
    </row>
    <row r="27" spans="1:4" x14ac:dyDescent="0.25">
      <c r="A27" s="11" t="s">
        <v>98</v>
      </c>
      <c r="B27" s="11" t="s">
        <v>99</v>
      </c>
      <c r="D27" s="11" t="s">
        <v>49</v>
      </c>
    </row>
    <row r="28" spans="1:4" x14ac:dyDescent="0.25">
      <c r="A28" s="11" t="s">
        <v>100</v>
      </c>
      <c r="B28" s="11" t="s">
        <v>101</v>
      </c>
      <c r="D28" s="11" t="s">
        <v>49</v>
      </c>
    </row>
    <row r="29" spans="1:4" x14ac:dyDescent="0.25">
      <c r="A29" s="11" t="s">
        <v>102</v>
      </c>
      <c r="B29" s="11" t="s">
        <v>103</v>
      </c>
      <c r="D29" s="11" t="s">
        <v>49</v>
      </c>
    </row>
    <row r="30" spans="1:4" x14ac:dyDescent="0.25">
      <c r="A30" s="11" t="s">
        <v>104</v>
      </c>
      <c r="B30" s="11" t="s">
        <v>105</v>
      </c>
      <c r="D30" s="11" t="s">
        <v>49</v>
      </c>
    </row>
    <row r="31" spans="1:4" x14ac:dyDescent="0.25">
      <c r="A31" s="11" t="s">
        <v>106</v>
      </c>
      <c r="B31" s="11" t="s">
        <v>107</v>
      </c>
      <c r="D31" s="11" t="s">
        <v>49</v>
      </c>
    </row>
    <row r="32" spans="1:4" x14ac:dyDescent="0.25">
      <c r="A32" s="11" t="s">
        <v>108</v>
      </c>
      <c r="B32" s="11" t="s">
        <v>109</v>
      </c>
      <c r="D32" s="11" t="s">
        <v>49</v>
      </c>
    </row>
    <row r="33" spans="1:4" x14ac:dyDescent="0.25">
      <c r="A33" s="11" t="s">
        <v>110</v>
      </c>
      <c r="B33" s="11" t="s">
        <v>111</v>
      </c>
      <c r="D33" s="11" t="s">
        <v>49</v>
      </c>
    </row>
    <row r="34" spans="1:4" x14ac:dyDescent="0.25">
      <c r="A34" s="11" t="s">
        <v>112</v>
      </c>
      <c r="B34" s="11" t="s">
        <v>113</v>
      </c>
      <c r="D34" s="11" t="s">
        <v>49</v>
      </c>
    </row>
    <row r="35" spans="1:4" x14ac:dyDescent="0.25">
      <c r="A35" s="11" t="s">
        <v>114</v>
      </c>
      <c r="B35" s="11" t="s">
        <v>115</v>
      </c>
      <c r="D35" s="11" t="s">
        <v>49</v>
      </c>
    </row>
    <row r="36" spans="1:4" x14ac:dyDescent="0.25">
      <c r="A36" s="11" t="s">
        <v>116</v>
      </c>
      <c r="B36" s="11" t="s">
        <v>117</v>
      </c>
      <c r="D36" s="11" t="s">
        <v>49</v>
      </c>
    </row>
    <row r="37" spans="1:4" x14ac:dyDescent="0.25">
      <c r="A37" s="11" t="s">
        <v>118</v>
      </c>
      <c r="B37" s="11" t="s">
        <v>119</v>
      </c>
      <c r="D37" s="11" t="s">
        <v>49</v>
      </c>
    </row>
    <row r="38" spans="1:4" x14ac:dyDescent="0.25">
      <c r="A38" s="11" t="s">
        <v>120</v>
      </c>
      <c r="B38" s="11" t="s">
        <v>121</v>
      </c>
      <c r="D38" s="11" t="s">
        <v>49</v>
      </c>
    </row>
    <row r="39" spans="1:4" x14ac:dyDescent="0.25">
      <c r="A39" s="11" t="s">
        <v>122</v>
      </c>
      <c r="B39" s="11" t="s">
        <v>123</v>
      </c>
      <c r="D39" s="11" t="s">
        <v>49</v>
      </c>
    </row>
    <row r="40" spans="1:4" x14ac:dyDescent="0.25">
      <c r="A40" s="11" t="s">
        <v>124</v>
      </c>
      <c r="B40" s="11" t="s">
        <v>125</v>
      </c>
      <c r="D40" s="11" t="s">
        <v>49</v>
      </c>
    </row>
    <row r="41" spans="1:4" x14ac:dyDescent="0.25">
      <c r="A41" s="11" t="s">
        <v>126</v>
      </c>
      <c r="B41" s="11" t="s">
        <v>127</v>
      </c>
      <c r="D41" s="11" t="s">
        <v>49</v>
      </c>
    </row>
    <row r="42" spans="1:4" x14ac:dyDescent="0.25">
      <c r="A42" s="11" t="s">
        <v>128</v>
      </c>
      <c r="B42" s="11" t="s">
        <v>129</v>
      </c>
      <c r="D42" s="11" t="s">
        <v>49</v>
      </c>
    </row>
    <row r="43" spans="1:4" x14ac:dyDescent="0.25">
      <c r="A43" s="11" t="s">
        <v>130</v>
      </c>
      <c r="B43" s="11" t="s">
        <v>131</v>
      </c>
      <c r="D43" s="11" t="s">
        <v>49</v>
      </c>
    </row>
    <row r="44" spans="1:4" x14ac:dyDescent="0.25">
      <c r="A44" s="11" t="s">
        <v>132</v>
      </c>
      <c r="B44" s="11" t="s">
        <v>133</v>
      </c>
      <c r="D44" s="11" t="s">
        <v>49</v>
      </c>
    </row>
    <row r="45" spans="1:4" x14ac:dyDescent="0.25">
      <c r="A45" s="11" t="s">
        <v>134</v>
      </c>
      <c r="B45" s="11" t="s">
        <v>135</v>
      </c>
      <c r="D45" s="11" t="s">
        <v>49</v>
      </c>
    </row>
    <row r="46" spans="1:4" x14ac:dyDescent="0.25">
      <c r="A46" s="11" t="s">
        <v>136</v>
      </c>
      <c r="B46" s="11" t="s">
        <v>137</v>
      </c>
      <c r="D46" s="11" t="s">
        <v>49</v>
      </c>
    </row>
    <row r="47" spans="1:4" x14ac:dyDescent="0.25">
      <c r="A47" s="11" t="s">
        <v>138</v>
      </c>
      <c r="B47" s="11" t="s">
        <v>139</v>
      </c>
      <c r="D47" s="11" t="s">
        <v>49</v>
      </c>
    </row>
    <row r="48" spans="1:4" x14ac:dyDescent="0.25">
      <c r="A48" s="11" t="s">
        <v>140</v>
      </c>
      <c r="B48" s="11" t="s">
        <v>141</v>
      </c>
      <c r="D48" s="11" t="s">
        <v>49</v>
      </c>
    </row>
    <row r="49" spans="1:4" x14ac:dyDescent="0.25">
      <c r="A49" s="11" t="s">
        <v>142</v>
      </c>
      <c r="B49" s="11" t="s">
        <v>143</v>
      </c>
      <c r="D49" s="11" t="s">
        <v>49</v>
      </c>
    </row>
    <row r="50" spans="1:4" x14ac:dyDescent="0.25">
      <c r="A50" s="11" t="s">
        <v>144</v>
      </c>
      <c r="B50" s="11" t="s">
        <v>145</v>
      </c>
      <c r="D50" s="11" t="s">
        <v>49</v>
      </c>
    </row>
    <row r="51" spans="1:4" x14ac:dyDescent="0.25">
      <c r="A51" s="11" t="s">
        <v>146</v>
      </c>
      <c r="B51" s="11" t="s">
        <v>147</v>
      </c>
      <c r="D51" s="11" t="s">
        <v>49</v>
      </c>
    </row>
    <row r="52" spans="1:4" x14ac:dyDescent="0.25">
      <c r="A52" s="11" t="s">
        <v>148</v>
      </c>
      <c r="B52" s="11" t="s">
        <v>149</v>
      </c>
      <c r="D52" s="11" t="s">
        <v>49</v>
      </c>
    </row>
    <row r="53" spans="1:4" x14ac:dyDescent="0.25">
      <c r="A53" s="11" t="s">
        <v>150</v>
      </c>
      <c r="B53" s="11" t="s">
        <v>151</v>
      </c>
      <c r="D53" s="11" t="s">
        <v>49</v>
      </c>
    </row>
    <row r="54" spans="1:4" x14ac:dyDescent="0.25">
      <c r="A54" s="11" t="s">
        <v>152</v>
      </c>
      <c r="B54" s="11" t="s">
        <v>153</v>
      </c>
      <c r="D54" s="11" t="s">
        <v>49</v>
      </c>
    </row>
    <row r="55" spans="1:4" x14ac:dyDescent="0.25">
      <c r="A55" s="11" t="s">
        <v>154</v>
      </c>
      <c r="B55" s="11" t="s">
        <v>155</v>
      </c>
      <c r="D55" s="11" t="s">
        <v>49</v>
      </c>
    </row>
    <row r="56" spans="1:4" x14ac:dyDescent="0.25">
      <c r="A56" s="11" t="s">
        <v>156</v>
      </c>
      <c r="B56" s="11" t="s">
        <v>157</v>
      </c>
      <c r="D56" s="11" t="s">
        <v>49</v>
      </c>
    </row>
    <row r="57" spans="1:4" x14ac:dyDescent="0.25">
      <c r="A57" s="11" t="s">
        <v>158</v>
      </c>
      <c r="B57" s="11" t="s">
        <v>159</v>
      </c>
      <c r="D57" s="11" t="s">
        <v>49</v>
      </c>
    </row>
    <row r="58" spans="1:4" x14ac:dyDescent="0.25">
      <c r="A58" s="11" t="s">
        <v>160</v>
      </c>
      <c r="B58" s="11" t="s">
        <v>161</v>
      </c>
      <c r="D58" s="11" t="s">
        <v>49</v>
      </c>
    </row>
    <row r="59" spans="1:4" x14ac:dyDescent="0.25">
      <c r="A59" s="11" t="s">
        <v>162</v>
      </c>
      <c r="B59" s="11" t="s">
        <v>163</v>
      </c>
      <c r="D59" s="11" t="s">
        <v>49</v>
      </c>
    </row>
    <row r="60" spans="1:4" x14ac:dyDescent="0.25">
      <c r="A60" s="11" t="s">
        <v>164</v>
      </c>
      <c r="B60" s="11" t="s">
        <v>165</v>
      </c>
      <c r="D60" s="11" t="s">
        <v>49</v>
      </c>
    </row>
    <row r="61" spans="1:4" x14ac:dyDescent="0.25">
      <c r="A61" s="11" t="s">
        <v>166</v>
      </c>
      <c r="B61" s="11" t="s">
        <v>167</v>
      </c>
      <c r="D61" s="11" t="s">
        <v>49</v>
      </c>
    </row>
    <row r="62" spans="1:4" x14ac:dyDescent="0.25">
      <c r="A62" s="11" t="s">
        <v>168</v>
      </c>
      <c r="B62" s="11" t="s">
        <v>169</v>
      </c>
      <c r="D62" s="11" t="s">
        <v>49</v>
      </c>
    </row>
    <row r="63" spans="1:4" x14ac:dyDescent="0.25">
      <c r="A63" s="11" t="s">
        <v>170</v>
      </c>
      <c r="B63" s="11" t="s">
        <v>171</v>
      </c>
      <c r="D63" s="11" t="s">
        <v>49</v>
      </c>
    </row>
    <row r="64" spans="1:4" x14ac:dyDescent="0.25">
      <c r="A64" s="11" t="s">
        <v>172</v>
      </c>
      <c r="B64" s="11" t="s">
        <v>173</v>
      </c>
      <c r="D64" s="11" t="s">
        <v>49</v>
      </c>
    </row>
    <row r="65" spans="1:4" x14ac:dyDescent="0.25">
      <c r="A65" s="11" t="s">
        <v>174</v>
      </c>
      <c r="B65" s="11" t="s">
        <v>175</v>
      </c>
      <c r="D65" s="11" t="s">
        <v>49</v>
      </c>
    </row>
    <row r="66" spans="1:4" x14ac:dyDescent="0.25">
      <c r="A66" s="11" t="s">
        <v>176</v>
      </c>
      <c r="B66" s="11" t="s">
        <v>177</v>
      </c>
      <c r="D66" s="11" t="s">
        <v>49</v>
      </c>
    </row>
    <row r="67" spans="1:4" x14ac:dyDescent="0.25">
      <c r="A67" s="11" t="s">
        <v>178</v>
      </c>
      <c r="B67" s="11" t="s">
        <v>179</v>
      </c>
      <c r="D67" s="11" t="s">
        <v>49</v>
      </c>
    </row>
    <row r="68" spans="1:4" x14ac:dyDescent="0.25">
      <c r="A68" s="11" t="s">
        <v>180</v>
      </c>
      <c r="B68" s="11" t="s">
        <v>181</v>
      </c>
      <c r="D68" s="11" t="s">
        <v>49</v>
      </c>
    </row>
    <row r="69" spans="1:4" x14ac:dyDescent="0.25">
      <c r="A69" s="11" t="s">
        <v>182</v>
      </c>
      <c r="B69" s="11" t="s">
        <v>183</v>
      </c>
      <c r="D69" s="11" t="s">
        <v>49</v>
      </c>
    </row>
    <row r="70" spans="1:4" x14ac:dyDescent="0.25">
      <c r="A70" s="11" t="s">
        <v>184</v>
      </c>
      <c r="B70" s="11" t="s">
        <v>185</v>
      </c>
      <c r="D70" s="11" t="s">
        <v>49</v>
      </c>
    </row>
    <row r="71" spans="1:4" x14ac:dyDescent="0.25">
      <c r="A71" s="11" t="s">
        <v>186</v>
      </c>
      <c r="B71" s="11" t="s">
        <v>187</v>
      </c>
      <c r="D71" s="11" t="s">
        <v>49</v>
      </c>
    </row>
    <row r="72" spans="1:4" x14ac:dyDescent="0.25">
      <c r="A72" s="11" t="s">
        <v>188</v>
      </c>
      <c r="B72" s="11" t="s">
        <v>189</v>
      </c>
      <c r="D72" s="11" t="s">
        <v>49</v>
      </c>
    </row>
    <row r="73" spans="1:4" x14ac:dyDescent="0.25">
      <c r="A73" s="11" t="s">
        <v>190</v>
      </c>
      <c r="B73" s="11" t="s">
        <v>191</v>
      </c>
      <c r="D73" s="11" t="s">
        <v>49</v>
      </c>
    </row>
    <row r="74" spans="1:4" x14ac:dyDescent="0.25">
      <c r="A74" s="11" t="s">
        <v>192</v>
      </c>
      <c r="B74" s="11" t="s">
        <v>193</v>
      </c>
      <c r="D74" s="11" t="s">
        <v>49</v>
      </c>
    </row>
    <row r="75" spans="1:4" x14ac:dyDescent="0.25">
      <c r="A75" s="11" t="s">
        <v>194</v>
      </c>
      <c r="B75" s="11" t="s">
        <v>195</v>
      </c>
      <c r="D75" s="11" t="s">
        <v>49</v>
      </c>
    </row>
    <row r="76" spans="1:4" x14ac:dyDescent="0.25">
      <c r="A76" s="11" t="s">
        <v>196</v>
      </c>
      <c r="B76" s="11" t="s">
        <v>197</v>
      </c>
      <c r="D76" s="11" t="s">
        <v>49</v>
      </c>
    </row>
    <row r="77" spans="1:4" x14ac:dyDescent="0.25">
      <c r="A77" s="11" t="s">
        <v>198</v>
      </c>
      <c r="B77" s="11" t="s">
        <v>199</v>
      </c>
      <c r="D77" s="11" t="s">
        <v>49</v>
      </c>
    </row>
    <row r="78" spans="1:4" x14ac:dyDescent="0.25">
      <c r="A78" s="11" t="s">
        <v>200</v>
      </c>
      <c r="B78" s="11" t="s">
        <v>201</v>
      </c>
      <c r="D78" s="11" t="s">
        <v>49</v>
      </c>
    </row>
    <row r="79" spans="1:4" x14ac:dyDescent="0.25">
      <c r="A79" s="11" t="s">
        <v>202</v>
      </c>
      <c r="B79" s="11" t="s">
        <v>203</v>
      </c>
      <c r="D79" s="11" t="s">
        <v>49</v>
      </c>
    </row>
    <row r="80" spans="1:4" x14ac:dyDescent="0.25">
      <c r="A80" s="11" t="s">
        <v>204</v>
      </c>
      <c r="B80" s="11" t="s">
        <v>205</v>
      </c>
      <c r="D80" s="11" t="s">
        <v>49</v>
      </c>
    </row>
    <row r="81" spans="1:4" x14ac:dyDescent="0.25">
      <c r="A81" s="11" t="s">
        <v>206</v>
      </c>
      <c r="B81" s="11" t="s">
        <v>207</v>
      </c>
      <c r="D81" s="11" t="s">
        <v>49</v>
      </c>
    </row>
    <row r="82" spans="1:4" x14ac:dyDescent="0.25">
      <c r="A82" s="11" t="s">
        <v>208</v>
      </c>
      <c r="B82" s="11" t="s">
        <v>209</v>
      </c>
      <c r="D82" s="11" t="s">
        <v>49</v>
      </c>
    </row>
    <row r="83" spans="1:4" x14ac:dyDescent="0.25">
      <c r="A83" s="11" t="s">
        <v>210</v>
      </c>
      <c r="B83" s="11" t="s">
        <v>211</v>
      </c>
      <c r="D83" s="11" t="s">
        <v>49</v>
      </c>
    </row>
    <row r="84" spans="1:4" x14ac:dyDescent="0.25">
      <c r="A84" s="11" t="s">
        <v>212</v>
      </c>
      <c r="B84" s="11" t="s">
        <v>213</v>
      </c>
      <c r="D84" s="11" t="s">
        <v>49</v>
      </c>
    </row>
    <row r="85" spans="1:4" x14ac:dyDescent="0.25">
      <c r="A85" s="11" t="s">
        <v>214</v>
      </c>
      <c r="B85" s="11" t="s">
        <v>215</v>
      </c>
      <c r="D85" s="11" t="s">
        <v>49</v>
      </c>
    </row>
    <row r="86" spans="1:4" x14ac:dyDescent="0.25">
      <c r="A86" s="11" t="s">
        <v>216</v>
      </c>
      <c r="B86" s="11" t="s">
        <v>217</v>
      </c>
      <c r="D86" s="11" t="s">
        <v>49</v>
      </c>
    </row>
    <row r="87" spans="1:4" x14ac:dyDescent="0.25">
      <c r="A87" s="11" t="s">
        <v>218</v>
      </c>
      <c r="B87" s="11" t="s">
        <v>219</v>
      </c>
      <c r="D87" s="11" t="s">
        <v>49</v>
      </c>
    </row>
    <row r="88" spans="1:4" x14ac:dyDescent="0.25">
      <c r="A88" s="11" t="s">
        <v>220</v>
      </c>
      <c r="B88" s="11" t="s">
        <v>221</v>
      </c>
      <c r="D88" s="11" t="s">
        <v>49</v>
      </c>
    </row>
    <row r="89" spans="1:4" x14ac:dyDescent="0.25">
      <c r="A89" s="11" t="s">
        <v>222</v>
      </c>
      <c r="B89" s="11" t="s">
        <v>223</v>
      </c>
      <c r="D89" s="11" t="s">
        <v>49</v>
      </c>
    </row>
    <row r="90" spans="1:4" x14ac:dyDescent="0.25">
      <c r="A90" s="11" t="s">
        <v>224</v>
      </c>
      <c r="B90" s="11" t="s">
        <v>225</v>
      </c>
      <c r="D90" s="11" t="s">
        <v>49</v>
      </c>
    </row>
    <row r="91" spans="1:4" x14ac:dyDescent="0.25">
      <c r="A91" s="11" t="s">
        <v>226</v>
      </c>
      <c r="B91" s="11" t="s">
        <v>227</v>
      </c>
      <c r="D91" s="11" t="s">
        <v>49</v>
      </c>
    </row>
    <row r="92" spans="1:4" x14ac:dyDescent="0.25">
      <c r="A92" s="11" t="s">
        <v>228</v>
      </c>
      <c r="B92" s="11" t="s">
        <v>229</v>
      </c>
      <c r="D92" s="11" t="s">
        <v>49</v>
      </c>
    </row>
    <row r="93" spans="1:4" ht="45" x14ac:dyDescent="0.25">
      <c r="A93" s="11" t="s">
        <v>230</v>
      </c>
      <c r="B93" s="11" t="s">
        <v>12</v>
      </c>
      <c r="C93" s="11" t="s">
        <v>231</v>
      </c>
      <c r="D93" s="11" t="s">
        <v>49</v>
      </c>
    </row>
    <row r="94" spans="1:4" x14ac:dyDescent="0.25">
      <c r="A94" s="11" t="s">
        <v>232</v>
      </c>
      <c r="B94" s="11" t="s">
        <v>233</v>
      </c>
      <c r="D94" s="11" t="s">
        <v>49</v>
      </c>
    </row>
    <row r="95" spans="1:4" x14ac:dyDescent="0.25">
      <c r="A95" s="11" t="s">
        <v>234</v>
      </c>
      <c r="B95" s="11" t="s">
        <v>235</v>
      </c>
      <c r="D95" s="11" t="s">
        <v>49</v>
      </c>
    </row>
    <row r="96" spans="1:4" x14ac:dyDescent="0.25">
      <c r="A96" s="11" t="s">
        <v>236</v>
      </c>
      <c r="B96" s="11" t="s">
        <v>237</v>
      </c>
      <c r="D96" s="11" t="s">
        <v>49</v>
      </c>
    </row>
    <row r="97" spans="1:4" x14ac:dyDescent="0.25">
      <c r="A97" s="11" t="s">
        <v>238</v>
      </c>
      <c r="B97" s="11" t="s">
        <v>239</v>
      </c>
      <c r="D97" s="11" t="s">
        <v>49</v>
      </c>
    </row>
    <row r="98" spans="1:4" x14ac:dyDescent="0.25">
      <c r="A98" s="11" t="s">
        <v>240</v>
      </c>
      <c r="B98" s="11" t="s">
        <v>27</v>
      </c>
      <c r="D98" s="11" t="s">
        <v>49</v>
      </c>
    </row>
    <row r="99" spans="1:4" x14ac:dyDescent="0.25">
      <c r="A99" s="11" t="s">
        <v>241</v>
      </c>
      <c r="B99" s="11" t="s">
        <v>242</v>
      </c>
      <c r="D99" s="11" t="s">
        <v>49</v>
      </c>
    </row>
    <row r="100" spans="1:4" x14ac:dyDescent="0.25">
      <c r="A100" s="11" t="s">
        <v>243</v>
      </c>
      <c r="B100" s="11" t="s">
        <v>244</v>
      </c>
      <c r="D100" s="11" t="s">
        <v>49</v>
      </c>
    </row>
    <row r="101" spans="1:4" x14ac:dyDescent="0.25">
      <c r="A101" s="11" t="s">
        <v>245</v>
      </c>
      <c r="B101" s="11" t="s">
        <v>246</v>
      </c>
      <c r="D101" s="11" t="s">
        <v>49</v>
      </c>
    </row>
    <row r="102" spans="1:4" x14ac:dyDescent="0.25">
      <c r="A102" s="11" t="s">
        <v>247</v>
      </c>
      <c r="B102" s="11" t="s">
        <v>18</v>
      </c>
      <c r="D102" s="11" t="s">
        <v>49</v>
      </c>
    </row>
    <row r="103" spans="1:4" x14ac:dyDescent="0.25">
      <c r="A103" s="11" t="s">
        <v>248</v>
      </c>
      <c r="B103" s="11" t="s">
        <v>249</v>
      </c>
      <c r="D103" s="11" t="s">
        <v>49</v>
      </c>
    </row>
    <row r="104" spans="1:4" x14ac:dyDescent="0.25">
      <c r="A104" s="11" t="s">
        <v>250</v>
      </c>
      <c r="B104" s="11" t="s">
        <v>251</v>
      </c>
      <c r="D104" s="11" t="s">
        <v>49</v>
      </c>
    </row>
    <row r="105" spans="1:4" x14ac:dyDescent="0.25">
      <c r="A105" s="11" t="s">
        <v>252</v>
      </c>
      <c r="B105" s="11" t="s">
        <v>253</v>
      </c>
      <c r="D105" s="11" t="s">
        <v>49</v>
      </c>
    </row>
    <row r="106" spans="1:4" ht="120" x14ac:dyDescent="0.25">
      <c r="A106" s="11" t="s">
        <v>254</v>
      </c>
      <c r="B106" s="11" t="s">
        <v>13</v>
      </c>
      <c r="C106" s="11" t="s">
        <v>255</v>
      </c>
      <c r="D106" s="11" t="s">
        <v>49</v>
      </c>
    </row>
    <row r="107" spans="1:4" x14ac:dyDescent="0.25">
      <c r="A107" s="11" t="s">
        <v>256</v>
      </c>
      <c r="B107" s="11" t="s">
        <v>257</v>
      </c>
      <c r="D107" s="11" t="s">
        <v>49</v>
      </c>
    </row>
    <row r="108" spans="1:4" x14ac:dyDescent="0.25">
      <c r="A108" s="11" t="s">
        <v>258</v>
      </c>
      <c r="B108" s="11" t="s">
        <v>259</v>
      </c>
      <c r="D108" s="11" t="s">
        <v>49</v>
      </c>
    </row>
    <row r="109" spans="1:4" ht="30" x14ac:dyDescent="0.25">
      <c r="A109" s="11" t="s">
        <v>260</v>
      </c>
      <c r="B109" s="11" t="s">
        <v>261</v>
      </c>
      <c r="D109" s="11" t="s">
        <v>49</v>
      </c>
    </row>
    <row r="110" spans="1:4" x14ac:dyDescent="0.25">
      <c r="A110" s="11" t="s">
        <v>262</v>
      </c>
      <c r="B110" s="11" t="s">
        <v>263</v>
      </c>
      <c r="D110" s="11" t="s">
        <v>49</v>
      </c>
    </row>
    <row r="111" spans="1:4" x14ac:dyDescent="0.25">
      <c r="A111" s="11" t="s">
        <v>264</v>
      </c>
      <c r="B111" s="11" t="s">
        <v>265</v>
      </c>
      <c r="D111" s="11" t="s">
        <v>49</v>
      </c>
    </row>
    <row r="112" spans="1:4" x14ac:dyDescent="0.25">
      <c r="A112" s="11" t="s">
        <v>266</v>
      </c>
      <c r="B112" s="11" t="s">
        <v>267</v>
      </c>
      <c r="D112" s="11" t="s">
        <v>49</v>
      </c>
    </row>
    <row r="113" spans="1:4" x14ac:dyDescent="0.25">
      <c r="A113" s="11" t="s">
        <v>268</v>
      </c>
      <c r="B113" s="11" t="s">
        <v>269</v>
      </c>
      <c r="D113" s="11" t="s">
        <v>49</v>
      </c>
    </row>
    <row r="114" spans="1:4" x14ac:dyDescent="0.25">
      <c r="A114" s="11" t="s">
        <v>270</v>
      </c>
      <c r="B114" s="11" t="s">
        <v>271</v>
      </c>
      <c r="D114" s="11" t="s">
        <v>49</v>
      </c>
    </row>
    <row r="115" spans="1:4" x14ac:dyDescent="0.25">
      <c r="A115" s="11" t="s">
        <v>272</v>
      </c>
      <c r="B115" s="11" t="s">
        <v>273</v>
      </c>
      <c r="D115" s="11" t="s">
        <v>49</v>
      </c>
    </row>
    <row r="116" spans="1:4" x14ac:dyDescent="0.25">
      <c r="A116" s="11" t="s">
        <v>274</v>
      </c>
      <c r="B116" s="11" t="s">
        <v>275</v>
      </c>
      <c r="D116" s="11" t="s">
        <v>49</v>
      </c>
    </row>
    <row r="117" spans="1:4" x14ac:dyDescent="0.25">
      <c r="A117" s="11" t="s">
        <v>276</v>
      </c>
      <c r="B117" s="11" t="s">
        <v>277</v>
      </c>
      <c r="D117" s="11" t="s">
        <v>49</v>
      </c>
    </row>
    <row r="118" spans="1:4" x14ac:dyDescent="0.25">
      <c r="A118" s="11" t="s">
        <v>278</v>
      </c>
      <c r="B118" s="11" t="s">
        <v>279</v>
      </c>
      <c r="D118" s="11" t="s">
        <v>49</v>
      </c>
    </row>
    <row r="119" spans="1:4" x14ac:dyDescent="0.25">
      <c r="A119" s="11" t="s">
        <v>280</v>
      </c>
      <c r="B119" s="11" t="s">
        <v>281</v>
      </c>
      <c r="D119" s="11" t="s">
        <v>49</v>
      </c>
    </row>
    <row r="120" spans="1:4" x14ac:dyDescent="0.25">
      <c r="A120" s="11" t="s">
        <v>282</v>
      </c>
      <c r="B120" s="11" t="s">
        <v>283</v>
      </c>
      <c r="D120" s="11" t="s">
        <v>49</v>
      </c>
    </row>
    <row r="121" spans="1:4" x14ac:dyDescent="0.25">
      <c r="A121" s="11" t="s">
        <v>284</v>
      </c>
      <c r="B121" s="11" t="s">
        <v>285</v>
      </c>
      <c r="D121" s="11" t="s">
        <v>49</v>
      </c>
    </row>
    <row r="122" spans="1:4" x14ac:dyDescent="0.25">
      <c r="A122" s="11" t="s">
        <v>286</v>
      </c>
      <c r="B122" s="11" t="s">
        <v>287</v>
      </c>
      <c r="D122" s="11" t="s">
        <v>49</v>
      </c>
    </row>
    <row r="123" spans="1:4" x14ac:dyDescent="0.25">
      <c r="A123" s="11" t="s">
        <v>288</v>
      </c>
      <c r="B123" s="11" t="s">
        <v>289</v>
      </c>
      <c r="D123" s="11" t="s">
        <v>49</v>
      </c>
    </row>
    <row r="124" spans="1:4" x14ac:dyDescent="0.25">
      <c r="A124" s="11" t="s">
        <v>290</v>
      </c>
      <c r="B124" s="11" t="s">
        <v>291</v>
      </c>
      <c r="D124" s="11" t="s">
        <v>49</v>
      </c>
    </row>
    <row r="125" spans="1:4" x14ac:dyDescent="0.25">
      <c r="A125" s="11" t="s">
        <v>292</v>
      </c>
      <c r="B125" s="11" t="s">
        <v>293</v>
      </c>
      <c r="D125" s="11" t="s">
        <v>49</v>
      </c>
    </row>
    <row r="126" spans="1:4" x14ac:dyDescent="0.25">
      <c r="A126" s="11" t="s">
        <v>294</v>
      </c>
      <c r="B126" s="11" t="s">
        <v>295</v>
      </c>
      <c r="D126" s="11" t="s">
        <v>49</v>
      </c>
    </row>
    <row r="127" spans="1:4" x14ac:dyDescent="0.25">
      <c r="A127" s="11" t="s">
        <v>296</v>
      </c>
      <c r="B127" s="11" t="s">
        <v>297</v>
      </c>
      <c r="D127" s="11" t="s">
        <v>49</v>
      </c>
    </row>
    <row r="128" spans="1:4" x14ac:dyDescent="0.25">
      <c r="A128" s="11" t="s">
        <v>298</v>
      </c>
      <c r="B128" s="11" t="s">
        <v>299</v>
      </c>
      <c r="D128" s="11" t="s">
        <v>49</v>
      </c>
    </row>
    <row r="129" spans="1:4" x14ac:dyDescent="0.25">
      <c r="A129" s="11" t="s">
        <v>300</v>
      </c>
      <c r="B129" s="11" t="s">
        <v>301</v>
      </c>
      <c r="D129" s="11" t="s">
        <v>49</v>
      </c>
    </row>
    <row r="130" spans="1:4" x14ac:dyDescent="0.25">
      <c r="A130" s="11" t="s">
        <v>302</v>
      </c>
      <c r="B130" s="11" t="s">
        <v>303</v>
      </c>
      <c r="D130" s="11" t="s">
        <v>49</v>
      </c>
    </row>
    <row r="131" spans="1:4" x14ac:dyDescent="0.25">
      <c r="A131" s="11" t="s">
        <v>304</v>
      </c>
      <c r="B131" s="11" t="s">
        <v>305</v>
      </c>
      <c r="D131" s="11" t="s">
        <v>49</v>
      </c>
    </row>
    <row r="132" spans="1:4" x14ac:dyDescent="0.25">
      <c r="A132" s="11" t="s">
        <v>306</v>
      </c>
      <c r="B132" s="11" t="s">
        <v>307</v>
      </c>
      <c r="D132" s="11" t="s">
        <v>49</v>
      </c>
    </row>
    <row r="133" spans="1:4" x14ac:dyDescent="0.25">
      <c r="A133" s="11" t="s">
        <v>308</v>
      </c>
      <c r="B133" s="11" t="s">
        <v>309</v>
      </c>
      <c r="D133" s="11" t="s">
        <v>49</v>
      </c>
    </row>
    <row r="134" spans="1:4" x14ac:dyDescent="0.25">
      <c r="A134" s="11" t="s">
        <v>310</v>
      </c>
      <c r="B134" s="11" t="s">
        <v>311</v>
      </c>
      <c r="D134" s="11" t="s">
        <v>49</v>
      </c>
    </row>
    <row r="135" spans="1:4" ht="30" x14ac:dyDescent="0.25">
      <c r="A135" s="11" t="s">
        <v>312</v>
      </c>
      <c r="B135" s="11" t="s">
        <v>313</v>
      </c>
      <c r="D135" s="11" t="s">
        <v>49</v>
      </c>
    </row>
    <row r="136" spans="1:4" ht="30" x14ac:dyDescent="0.25">
      <c r="A136" s="11" t="s">
        <v>314</v>
      </c>
      <c r="B136" s="11" t="s">
        <v>315</v>
      </c>
      <c r="D136" s="11" t="s">
        <v>49</v>
      </c>
    </row>
    <row r="137" spans="1:4" x14ac:dyDescent="0.25">
      <c r="A137" s="11" t="s">
        <v>316</v>
      </c>
      <c r="B137" s="11" t="s">
        <v>317</v>
      </c>
      <c r="D137" s="11" t="s">
        <v>49</v>
      </c>
    </row>
    <row r="138" spans="1:4" x14ac:dyDescent="0.25">
      <c r="A138" s="11" t="s">
        <v>318</v>
      </c>
      <c r="B138" s="11" t="s">
        <v>319</v>
      </c>
      <c r="D138" s="11" t="s">
        <v>49</v>
      </c>
    </row>
    <row r="139" spans="1:4" x14ac:dyDescent="0.25">
      <c r="A139" s="11" t="s">
        <v>320</v>
      </c>
      <c r="B139" s="11" t="s">
        <v>321</v>
      </c>
      <c r="D139" s="11" t="s">
        <v>49</v>
      </c>
    </row>
    <row r="140" spans="1:4" ht="30" x14ac:dyDescent="0.25">
      <c r="A140" s="11" t="s">
        <v>322</v>
      </c>
      <c r="B140" s="11" t="s">
        <v>323</v>
      </c>
      <c r="D140" s="11" t="s">
        <v>49</v>
      </c>
    </row>
    <row r="141" spans="1:4" ht="30" x14ac:dyDescent="0.25">
      <c r="A141" s="11" t="s">
        <v>324</v>
      </c>
      <c r="B141" s="11" t="s">
        <v>325</v>
      </c>
      <c r="D141" s="11" t="s">
        <v>49</v>
      </c>
    </row>
    <row r="142" spans="1:4" ht="30" x14ac:dyDescent="0.25">
      <c r="A142" s="11" t="s">
        <v>326</v>
      </c>
      <c r="B142" s="11" t="s">
        <v>327</v>
      </c>
      <c r="D142" s="11" t="s">
        <v>49</v>
      </c>
    </row>
    <row r="143" spans="1:4" x14ac:dyDescent="0.25">
      <c r="A143" s="11" t="s">
        <v>328</v>
      </c>
      <c r="B143" s="11" t="s">
        <v>329</v>
      </c>
      <c r="D143" s="11" t="s">
        <v>49</v>
      </c>
    </row>
    <row r="144" spans="1:4" x14ac:dyDescent="0.25">
      <c r="A144" s="11" t="s">
        <v>330</v>
      </c>
      <c r="B144" s="11" t="s">
        <v>331</v>
      </c>
      <c r="D144" s="11" t="s">
        <v>49</v>
      </c>
    </row>
    <row r="145" spans="1:4" x14ac:dyDescent="0.25">
      <c r="A145" s="11" t="s">
        <v>332</v>
      </c>
      <c r="B145" s="11" t="s">
        <v>333</v>
      </c>
      <c r="D145" s="11" t="s">
        <v>49</v>
      </c>
    </row>
    <row r="146" spans="1:4" x14ac:dyDescent="0.25">
      <c r="A146" s="11" t="s">
        <v>334</v>
      </c>
      <c r="B146" s="11" t="s">
        <v>335</v>
      </c>
      <c r="D146" s="11" t="s">
        <v>49</v>
      </c>
    </row>
    <row r="147" spans="1:4" x14ac:dyDescent="0.25">
      <c r="A147" s="11" t="s">
        <v>336</v>
      </c>
      <c r="B147" s="11" t="s">
        <v>337</v>
      </c>
      <c r="D147" s="11" t="s">
        <v>49</v>
      </c>
    </row>
    <row r="148" spans="1:4" x14ac:dyDescent="0.25">
      <c r="A148" s="11" t="s">
        <v>338</v>
      </c>
      <c r="B148" s="11" t="s">
        <v>339</v>
      </c>
      <c r="D148" s="11" t="s">
        <v>49</v>
      </c>
    </row>
    <row r="149" spans="1:4" x14ac:dyDescent="0.25">
      <c r="A149" s="11" t="s">
        <v>340</v>
      </c>
      <c r="B149" s="11" t="s">
        <v>341</v>
      </c>
      <c r="D149" s="11" t="s">
        <v>49</v>
      </c>
    </row>
    <row r="150" spans="1:4" x14ac:dyDescent="0.25">
      <c r="A150" s="11" t="s">
        <v>342</v>
      </c>
      <c r="B150" s="11" t="s">
        <v>343</v>
      </c>
      <c r="D150" s="11" t="s">
        <v>49</v>
      </c>
    </row>
    <row r="151" spans="1:4" ht="45" x14ac:dyDescent="0.25">
      <c r="A151" s="11" t="s">
        <v>344</v>
      </c>
      <c r="B151" s="11" t="s">
        <v>14</v>
      </c>
      <c r="C151" s="11" t="s">
        <v>345</v>
      </c>
      <c r="D151" s="11" t="s">
        <v>49</v>
      </c>
    </row>
    <row r="152" spans="1:4" x14ac:dyDescent="0.25">
      <c r="A152" s="11" t="s">
        <v>234</v>
      </c>
      <c r="B152" s="11" t="s">
        <v>235</v>
      </c>
      <c r="D152" s="11" t="s">
        <v>49</v>
      </c>
    </row>
    <row r="153" spans="1:4" x14ac:dyDescent="0.25">
      <c r="A153" s="11" t="s">
        <v>346</v>
      </c>
      <c r="B153" s="11" t="s">
        <v>347</v>
      </c>
      <c r="D153" s="11" t="s">
        <v>49</v>
      </c>
    </row>
    <row r="154" spans="1:4" x14ac:dyDescent="0.25">
      <c r="A154" s="11" t="s">
        <v>348</v>
      </c>
      <c r="B154" s="11" t="s">
        <v>349</v>
      </c>
      <c r="D154" s="11" t="s">
        <v>49</v>
      </c>
    </row>
    <row r="155" spans="1:4" x14ac:dyDescent="0.25">
      <c r="A155" s="11" t="s">
        <v>350</v>
      </c>
      <c r="B155" s="11" t="s">
        <v>351</v>
      </c>
      <c r="D155" s="11" t="s">
        <v>49</v>
      </c>
    </row>
    <row r="156" spans="1:4" x14ac:dyDescent="0.25">
      <c r="A156" s="11" t="s">
        <v>238</v>
      </c>
      <c r="B156" s="11" t="s">
        <v>239</v>
      </c>
      <c r="D156" s="11" t="s">
        <v>49</v>
      </c>
    </row>
    <row r="157" spans="1:4" x14ac:dyDescent="0.25">
      <c r="A157" s="11" t="s">
        <v>240</v>
      </c>
      <c r="B157" s="11" t="s">
        <v>27</v>
      </c>
      <c r="D157" s="11" t="s">
        <v>49</v>
      </c>
    </row>
    <row r="158" spans="1:4" x14ac:dyDescent="0.25">
      <c r="A158" s="11" t="s">
        <v>352</v>
      </c>
      <c r="B158" s="11" t="s">
        <v>353</v>
      </c>
      <c r="D158" s="11" t="s">
        <v>49</v>
      </c>
    </row>
    <row r="159" spans="1:4" x14ac:dyDescent="0.25">
      <c r="A159" s="11" t="s">
        <v>245</v>
      </c>
      <c r="B159" s="11" t="s">
        <v>246</v>
      </c>
      <c r="D159" s="11" t="s">
        <v>49</v>
      </c>
    </row>
    <row r="160" spans="1:4" x14ac:dyDescent="0.25">
      <c r="A160" s="11" t="s">
        <v>354</v>
      </c>
      <c r="B160" s="11" t="s">
        <v>355</v>
      </c>
      <c r="D160" s="11" t="s">
        <v>49</v>
      </c>
    </row>
    <row r="161" spans="1:4" x14ac:dyDescent="0.25">
      <c r="A161" s="11" t="s">
        <v>356</v>
      </c>
      <c r="B161" s="11" t="s">
        <v>357</v>
      </c>
      <c r="D161" s="11" t="s">
        <v>49</v>
      </c>
    </row>
    <row r="162" spans="1:4" x14ac:dyDescent="0.25">
      <c r="A162" s="11" t="s">
        <v>358</v>
      </c>
      <c r="B162" s="11" t="s">
        <v>359</v>
      </c>
      <c r="D162" s="11" t="s">
        <v>49</v>
      </c>
    </row>
    <row r="163" spans="1:4" x14ac:dyDescent="0.25">
      <c r="A163" s="11" t="s">
        <v>360</v>
      </c>
      <c r="B163" s="11" t="s">
        <v>15</v>
      </c>
      <c r="C163" s="11" t="s">
        <v>361</v>
      </c>
      <c r="D163" s="11" t="s">
        <v>49</v>
      </c>
    </row>
    <row r="164" spans="1:4" x14ac:dyDescent="0.25">
      <c r="A164" s="11" t="s">
        <v>247</v>
      </c>
      <c r="B164" s="11" t="s">
        <v>18</v>
      </c>
      <c r="D164" s="11" t="s">
        <v>49</v>
      </c>
    </row>
    <row r="165" spans="1:4" x14ac:dyDescent="0.25">
      <c r="A165" s="11" t="s">
        <v>252</v>
      </c>
      <c r="B165" s="11" t="s">
        <v>253</v>
      </c>
      <c r="D165" s="11" t="s">
        <v>49</v>
      </c>
    </row>
    <row r="166" spans="1:4" ht="75" x14ac:dyDescent="0.25">
      <c r="A166" s="11" t="s">
        <v>362</v>
      </c>
      <c r="B166" s="11" t="s">
        <v>16</v>
      </c>
      <c r="C166" s="11" t="s">
        <v>363</v>
      </c>
      <c r="D166" s="11" t="s">
        <v>49</v>
      </c>
    </row>
    <row r="167" spans="1:4" x14ac:dyDescent="0.25">
      <c r="A167" s="11" t="s">
        <v>258</v>
      </c>
      <c r="B167" s="11" t="s">
        <v>259</v>
      </c>
      <c r="D167" s="11" t="s">
        <v>49</v>
      </c>
    </row>
    <row r="168" spans="1:4" ht="30" x14ac:dyDescent="0.25">
      <c r="A168" s="11" t="s">
        <v>260</v>
      </c>
      <c r="B168" s="11" t="s">
        <v>261</v>
      </c>
      <c r="D168" s="11" t="s">
        <v>49</v>
      </c>
    </row>
    <row r="169" spans="1:4" x14ac:dyDescent="0.25">
      <c r="A169" s="11" t="s">
        <v>364</v>
      </c>
      <c r="B169" s="11" t="s">
        <v>365</v>
      </c>
      <c r="D169" s="11" t="s">
        <v>49</v>
      </c>
    </row>
    <row r="170" spans="1:4" x14ac:dyDescent="0.25">
      <c r="A170" s="11" t="s">
        <v>366</v>
      </c>
      <c r="B170" s="11" t="s">
        <v>367</v>
      </c>
      <c r="D170" s="11" t="s">
        <v>49</v>
      </c>
    </row>
    <row r="171" spans="1:4" x14ac:dyDescent="0.25">
      <c r="A171" s="11" t="s">
        <v>262</v>
      </c>
      <c r="B171" s="11" t="s">
        <v>263</v>
      </c>
      <c r="D171" s="11" t="s">
        <v>49</v>
      </c>
    </row>
    <row r="172" spans="1:4" x14ac:dyDescent="0.25">
      <c r="A172" s="11" t="s">
        <v>266</v>
      </c>
      <c r="B172" s="11" t="s">
        <v>267</v>
      </c>
      <c r="D172" s="11" t="s">
        <v>49</v>
      </c>
    </row>
    <row r="173" spans="1:4" x14ac:dyDescent="0.25">
      <c r="A173" s="11" t="s">
        <v>268</v>
      </c>
      <c r="B173" s="11" t="s">
        <v>269</v>
      </c>
      <c r="D173" s="11" t="s">
        <v>49</v>
      </c>
    </row>
    <row r="174" spans="1:4" x14ac:dyDescent="0.25">
      <c r="A174" s="11" t="s">
        <v>272</v>
      </c>
      <c r="B174" s="11" t="s">
        <v>273</v>
      </c>
      <c r="D174" s="11" t="s">
        <v>49</v>
      </c>
    </row>
    <row r="175" spans="1:4" x14ac:dyDescent="0.25">
      <c r="A175" s="11" t="s">
        <v>368</v>
      </c>
      <c r="B175" s="11" t="s">
        <v>369</v>
      </c>
      <c r="D175" s="11" t="s">
        <v>49</v>
      </c>
    </row>
    <row r="176" spans="1:4" x14ac:dyDescent="0.25">
      <c r="A176" s="11" t="s">
        <v>370</v>
      </c>
      <c r="B176" s="11" t="s">
        <v>371</v>
      </c>
      <c r="D176" s="11" t="s">
        <v>49</v>
      </c>
    </row>
    <row r="177" spans="1:4" x14ac:dyDescent="0.25">
      <c r="A177" s="11" t="s">
        <v>274</v>
      </c>
      <c r="B177" s="11" t="s">
        <v>275</v>
      </c>
      <c r="D177" s="11" t="s">
        <v>49</v>
      </c>
    </row>
    <row r="178" spans="1:4" x14ac:dyDescent="0.25">
      <c r="A178" s="11" t="s">
        <v>276</v>
      </c>
      <c r="B178" s="11" t="s">
        <v>277</v>
      </c>
      <c r="D178" s="11" t="s">
        <v>49</v>
      </c>
    </row>
    <row r="179" spans="1:4" x14ac:dyDescent="0.25">
      <c r="A179" s="11" t="s">
        <v>278</v>
      </c>
      <c r="B179" s="11" t="s">
        <v>279</v>
      </c>
      <c r="D179" s="11" t="s">
        <v>49</v>
      </c>
    </row>
    <row r="180" spans="1:4" x14ac:dyDescent="0.25">
      <c r="A180" s="11" t="s">
        <v>280</v>
      </c>
      <c r="B180" s="11" t="s">
        <v>281</v>
      </c>
      <c r="D180" s="11" t="s">
        <v>49</v>
      </c>
    </row>
    <row r="181" spans="1:4" x14ac:dyDescent="0.25">
      <c r="A181" s="11" t="s">
        <v>282</v>
      </c>
      <c r="B181" s="11" t="s">
        <v>283</v>
      </c>
      <c r="D181" s="11" t="s">
        <v>49</v>
      </c>
    </row>
    <row r="182" spans="1:4" x14ac:dyDescent="0.25">
      <c r="A182" s="11" t="s">
        <v>284</v>
      </c>
      <c r="B182" s="11" t="s">
        <v>285</v>
      </c>
      <c r="D182" s="11" t="s">
        <v>49</v>
      </c>
    </row>
    <row r="183" spans="1:4" x14ac:dyDescent="0.25">
      <c r="A183" s="11" t="s">
        <v>286</v>
      </c>
      <c r="B183" s="11" t="s">
        <v>287</v>
      </c>
      <c r="D183" s="11" t="s">
        <v>49</v>
      </c>
    </row>
    <row r="184" spans="1:4" x14ac:dyDescent="0.25">
      <c r="A184" s="11" t="s">
        <v>288</v>
      </c>
      <c r="B184" s="11" t="s">
        <v>289</v>
      </c>
      <c r="D184" s="11" t="s">
        <v>49</v>
      </c>
    </row>
    <row r="185" spans="1:4" x14ac:dyDescent="0.25">
      <c r="A185" s="11" t="s">
        <v>290</v>
      </c>
      <c r="B185" s="11" t="s">
        <v>291</v>
      </c>
      <c r="D185" s="11" t="s">
        <v>49</v>
      </c>
    </row>
    <row r="186" spans="1:4" x14ac:dyDescent="0.25">
      <c r="A186" s="11" t="s">
        <v>304</v>
      </c>
      <c r="B186" s="11" t="s">
        <v>305</v>
      </c>
      <c r="D186" s="11" t="s">
        <v>49</v>
      </c>
    </row>
    <row r="187" spans="1:4" x14ac:dyDescent="0.25">
      <c r="A187" s="11" t="s">
        <v>306</v>
      </c>
      <c r="B187" s="11" t="s">
        <v>307</v>
      </c>
      <c r="D187" s="11" t="s">
        <v>49</v>
      </c>
    </row>
    <row r="188" spans="1:4" x14ac:dyDescent="0.25">
      <c r="A188" s="11" t="s">
        <v>308</v>
      </c>
      <c r="B188" s="11" t="s">
        <v>309</v>
      </c>
      <c r="D188" s="11" t="s">
        <v>49</v>
      </c>
    </row>
    <row r="189" spans="1:4" x14ac:dyDescent="0.25">
      <c r="A189" s="11" t="s">
        <v>310</v>
      </c>
      <c r="B189" s="11" t="s">
        <v>311</v>
      </c>
      <c r="D189" s="11" t="s">
        <v>49</v>
      </c>
    </row>
    <row r="190" spans="1:4" ht="30" x14ac:dyDescent="0.25">
      <c r="A190" s="11" t="s">
        <v>312</v>
      </c>
      <c r="B190" s="11" t="s">
        <v>313</v>
      </c>
      <c r="D190" s="11" t="s">
        <v>49</v>
      </c>
    </row>
    <row r="191" spans="1:4" ht="30" x14ac:dyDescent="0.25">
      <c r="A191" s="11" t="s">
        <v>314</v>
      </c>
      <c r="B191" s="11" t="s">
        <v>315</v>
      </c>
      <c r="D191" s="11" t="s">
        <v>49</v>
      </c>
    </row>
    <row r="192" spans="1:4" x14ac:dyDescent="0.25">
      <c r="A192" s="11" t="s">
        <v>316</v>
      </c>
      <c r="B192" s="11" t="s">
        <v>317</v>
      </c>
      <c r="D192" s="11" t="s">
        <v>49</v>
      </c>
    </row>
    <row r="193" spans="1:4" x14ac:dyDescent="0.25">
      <c r="A193" s="11" t="s">
        <v>318</v>
      </c>
      <c r="B193" s="11" t="s">
        <v>319</v>
      </c>
      <c r="D193" s="11" t="s">
        <v>49</v>
      </c>
    </row>
    <row r="194" spans="1:4" x14ac:dyDescent="0.25">
      <c r="A194" s="11" t="s">
        <v>320</v>
      </c>
      <c r="B194" s="11" t="s">
        <v>321</v>
      </c>
      <c r="D194" s="11" t="s">
        <v>49</v>
      </c>
    </row>
    <row r="195" spans="1:4" ht="30" x14ac:dyDescent="0.25">
      <c r="A195" s="11" t="s">
        <v>322</v>
      </c>
      <c r="B195" s="11" t="s">
        <v>323</v>
      </c>
      <c r="D195" s="11" t="s">
        <v>49</v>
      </c>
    </row>
    <row r="196" spans="1:4" x14ac:dyDescent="0.25">
      <c r="A196" s="11" t="s">
        <v>332</v>
      </c>
      <c r="B196" s="11" t="s">
        <v>333</v>
      </c>
      <c r="D196" s="11" t="s">
        <v>49</v>
      </c>
    </row>
    <row r="197" spans="1:4" x14ac:dyDescent="0.25">
      <c r="A197" s="11" t="s">
        <v>334</v>
      </c>
      <c r="B197" s="11" t="s">
        <v>335</v>
      </c>
      <c r="D197" s="11" t="s">
        <v>49</v>
      </c>
    </row>
    <row r="198" spans="1:4" x14ac:dyDescent="0.25">
      <c r="A198" s="11" t="s">
        <v>340</v>
      </c>
      <c r="B198" s="11" t="s">
        <v>341</v>
      </c>
      <c r="D198" s="11" t="s">
        <v>49</v>
      </c>
    </row>
    <row r="199" spans="1:4" x14ac:dyDescent="0.25">
      <c r="A199" s="11" t="s">
        <v>372</v>
      </c>
      <c r="B199" s="11" t="s">
        <v>17</v>
      </c>
      <c r="C199" s="11" t="s">
        <v>373</v>
      </c>
      <c r="D199" s="11" t="s">
        <v>49</v>
      </c>
    </row>
    <row r="200" spans="1:4" x14ac:dyDescent="0.25">
      <c r="A200" s="11" t="s">
        <v>354</v>
      </c>
      <c r="B200" s="11" t="s">
        <v>355</v>
      </c>
      <c r="D200" s="11" t="s">
        <v>49</v>
      </c>
    </row>
    <row r="201" spans="1:4" x14ac:dyDescent="0.25">
      <c r="A201" s="11" t="s">
        <v>358</v>
      </c>
      <c r="B201" s="11" t="s">
        <v>359</v>
      </c>
      <c r="D201" s="11" t="s">
        <v>49</v>
      </c>
    </row>
    <row r="202" spans="1:4" x14ac:dyDescent="0.25">
      <c r="A202" s="11" t="s">
        <v>247</v>
      </c>
      <c r="B202" s="11" t="s">
        <v>18</v>
      </c>
      <c r="D202" s="11" t="s">
        <v>49</v>
      </c>
    </row>
    <row r="203" spans="1:4" x14ac:dyDescent="0.25">
      <c r="A203" s="11" t="s">
        <v>374</v>
      </c>
      <c r="B203" s="11" t="s">
        <v>19</v>
      </c>
      <c r="C203" s="11" t="s">
        <v>375</v>
      </c>
      <c r="D203" s="11" t="s">
        <v>49</v>
      </c>
    </row>
    <row r="204" spans="1:4" x14ac:dyDescent="0.25">
      <c r="A204" s="11" t="s">
        <v>232</v>
      </c>
      <c r="B204" s="11" t="s">
        <v>233</v>
      </c>
      <c r="D204" s="11" t="s">
        <v>49</v>
      </c>
    </row>
    <row r="205" spans="1:4" x14ac:dyDescent="0.25">
      <c r="A205" s="11" t="s">
        <v>376</v>
      </c>
      <c r="B205" s="11" t="s">
        <v>377</v>
      </c>
      <c r="D205" s="11" t="s">
        <v>49</v>
      </c>
    </row>
    <row r="206" spans="1:4" x14ac:dyDescent="0.25">
      <c r="A206" s="11" t="s">
        <v>236</v>
      </c>
      <c r="B206" s="11" t="s">
        <v>237</v>
      </c>
      <c r="D206" s="11" t="s">
        <v>49</v>
      </c>
    </row>
    <row r="207" spans="1:4" x14ac:dyDescent="0.25">
      <c r="A207" s="11" t="s">
        <v>378</v>
      </c>
      <c r="B207" s="11" t="s">
        <v>379</v>
      </c>
      <c r="D207" s="11" t="s">
        <v>49</v>
      </c>
    </row>
    <row r="208" spans="1:4" x14ac:dyDescent="0.25">
      <c r="A208" s="11" t="s">
        <v>380</v>
      </c>
      <c r="B208" s="11" t="s">
        <v>381</v>
      </c>
      <c r="D208" s="11" t="s">
        <v>49</v>
      </c>
    </row>
    <row r="209" spans="1:4" x14ac:dyDescent="0.25">
      <c r="A209" s="11" t="s">
        <v>243</v>
      </c>
      <c r="B209" s="11" t="s">
        <v>244</v>
      </c>
      <c r="D209" s="11" t="s">
        <v>49</v>
      </c>
    </row>
    <row r="210" spans="1:4" x14ac:dyDescent="0.25">
      <c r="A210" s="11" t="s">
        <v>382</v>
      </c>
      <c r="B210" s="11" t="s">
        <v>383</v>
      </c>
      <c r="D210" s="11" t="s">
        <v>49</v>
      </c>
    </row>
    <row r="211" spans="1:4" x14ac:dyDescent="0.25">
      <c r="A211" s="11" t="s">
        <v>248</v>
      </c>
      <c r="B211" s="11" t="s">
        <v>249</v>
      </c>
      <c r="D211" s="11" t="s">
        <v>49</v>
      </c>
    </row>
    <row r="212" spans="1:4" x14ac:dyDescent="0.25">
      <c r="A212" s="11" t="s">
        <v>384</v>
      </c>
      <c r="B212" s="11" t="s">
        <v>20</v>
      </c>
      <c r="C212" s="11" t="s">
        <v>385</v>
      </c>
      <c r="D212" s="11" t="s">
        <v>49</v>
      </c>
    </row>
    <row r="213" spans="1:4" x14ac:dyDescent="0.25">
      <c r="A213" s="11" t="s">
        <v>241</v>
      </c>
      <c r="B213" s="11" t="s">
        <v>242</v>
      </c>
      <c r="D213" s="11" t="s">
        <v>49</v>
      </c>
    </row>
    <row r="214" spans="1:4" x14ac:dyDescent="0.25">
      <c r="A214" s="11" t="s">
        <v>250</v>
      </c>
      <c r="B214" s="11" t="s">
        <v>251</v>
      </c>
      <c r="D214" s="11" t="s">
        <v>49</v>
      </c>
    </row>
    <row r="215" spans="1:4" x14ac:dyDescent="0.25">
      <c r="A215" s="11" t="s">
        <v>386</v>
      </c>
      <c r="B215" s="11" t="s">
        <v>21</v>
      </c>
      <c r="C215" s="11" t="s">
        <v>387</v>
      </c>
      <c r="D215" s="11" t="s">
        <v>49</v>
      </c>
    </row>
    <row r="216" spans="1:4" x14ac:dyDescent="0.25">
      <c r="A216" s="11" t="s">
        <v>388</v>
      </c>
      <c r="B216" s="11" t="s">
        <v>389</v>
      </c>
      <c r="D216" s="11" t="s">
        <v>49</v>
      </c>
    </row>
    <row r="217" spans="1:4" x14ac:dyDescent="0.25">
      <c r="A217" s="11" t="s">
        <v>390</v>
      </c>
      <c r="B217" s="11" t="s">
        <v>391</v>
      </c>
      <c r="D217" s="11" t="s">
        <v>49</v>
      </c>
    </row>
    <row r="218" spans="1:4" x14ac:dyDescent="0.25">
      <c r="A218" s="11" t="s">
        <v>392</v>
      </c>
      <c r="B218" s="11" t="s">
        <v>22</v>
      </c>
      <c r="C218" s="11" t="s">
        <v>393</v>
      </c>
      <c r="D218" s="11" t="s">
        <v>49</v>
      </c>
    </row>
    <row r="219" spans="1:4" x14ac:dyDescent="0.25">
      <c r="A219" s="11" t="s">
        <v>394</v>
      </c>
      <c r="B219" s="11" t="s">
        <v>395</v>
      </c>
      <c r="D219" s="11" t="s">
        <v>49</v>
      </c>
    </row>
    <row r="220" spans="1:4" x14ac:dyDescent="0.25">
      <c r="A220" s="11" t="s">
        <v>396</v>
      </c>
      <c r="B220" s="11" t="s">
        <v>397</v>
      </c>
      <c r="D220" s="11" t="s">
        <v>49</v>
      </c>
    </row>
    <row r="221" spans="1:4" x14ac:dyDescent="0.25">
      <c r="A221" s="11" t="s">
        <v>398</v>
      </c>
      <c r="B221" s="11" t="s">
        <v>23</v>
      </c>
      <c r="C221" s="11" t="s">
        <v>399</v>
      </c>
      <c r="D221" s="11" t="s">
        <v>49</v>
      </c>
    </row>
    <row r="222" spans="1:4" x14ac:dyDescent="0.25">
      <c r="A222" s="11" t="s">
        <v>400</v>
      </c>
      <c r="B222" s="11" t="s">
        <v>401</v>
      </c>
      <c r="D222" s="11" t="s">
        <v>49</v>
      </c>
    </row>
    <row r="223" spans="1:4" x14ac:dyDescent="0.25">
      <c r="A223" s="11" t="s">
        <v>402</v>
      </c>
      <c r="B223" s="11" t="s">
        <v>403</v>
      </c>
      <c r="D223" s="11" t="s">
        <v>49</v>
      </c>
    </row>
    <row r="224" spans="1:4" x14ac:dyDescent="0.25">
      <c r="A224" s="11" t="s">
        <v>404</v>
      </c>
      <c r="B224" s="11" t="s">
        <v>24</v>
      </c>
      <c r="D224" s="11" t="s">
        <v>49</v>
      </c>
    </row>
    <row r="225" spans="1:4" x14ac:dyDescent="0.25">
      <c r="A225" s="11" t="s">
        <v>405</v>
      </c>
      <c r="B225" s="11" t="s">
        <v>25</v>
      </c>
      <c r="C225" s="11" t="s">
        <v>406</v>
      </c>
      <c r="D225" s="11" t="s">
        <v>49</v>
      </c>
    </row>
    <row r="226" spans="1:4" x14ac:dyDescent="0.25">
      <c r="A226" s="11" t="s">
        <v>407</v>
      </c>
      <c r="B226" s="11" t="s">
        <v>408</v>
      </c>
      <c r="D226" s="11" t="s">
        <v>49</v>
      </c>
    </row>
    <row r="227" spans="1:4" x14ac:dyDescent="0.25">
      <c r="A227" s="11" t="s">
        <v>409</v>
      </c>
      <c r="B227" s="11" t="s">
        <v>410</v>
      </c>
      <c r="D227" s="11" t="s">
        <v>49</v>
      </c>
    </row>
    <row r="228" spans="1:4" x14ac:dyDescent="0.25">
      <c r="A228" s="11" t="s">
        <v>411</v>
      </c>
      <c r="B228" s="11" t="s">
        <v>26</v>
      </c>
      <c r="C228" s="11" t="s">
        <v>412</v>
      </c>
      <c r="D228" s="11" t="s">
        <v>49</v>
      </c>
    </row>
    <row r="229" spans="1:4" x14ac:dyDescent="0.25">
      <c r="A229" s="11" t="s">
        <v>232</v>
      </c>
      <c r="B229" s="11" t="s">
        <v>233</v>
      </c>
      <c r="D229" s="11" t="s">
        <v>49</v>
      </c>
    </row>
    <row r="230" spans="1:4" x14ac:dyDescent="0.25">
      <c r="A230" s="11" t="s">
        <v>234</v>
      </c>
      <c r="B230" s="11" t="s">
        <v>235</v>
      </c>
      <c r="D230" s="11" t="s">
        <v>49</v>
      </c>
    </row>
    <row r="231" spans="1:4" x14ac:dyDescent="0.25">
      <c r="A231" s="11" t="s">
        <v>236</v>
      </c>
      <c r="B231" s="11" t="s">
        <v>237</v>
      </c>
      <c r="D231" s="11" t="s">
        <v>49</v>
      </c>
    </row>
    <row r="232" spans="1:4" x14ac:dyDescent="0.25">
      <c r="A232" s="11" t="s">
        <v>238</v>
      </c>
      <c r="B232" s="11" t="s">
        <v>239</v>
      </c>
      <c r="D232" s="11" t="s">
        <v>49</v>
      </c>
    </row>
    <row r="233" spans="1:4" x14ac:dyDescent="0.25">
      <c r="A233" s="11" t="s">
        <v>240</v>
      </c>
      <c r="B233" s="11" t="s">
        <v>27</v>
      </c>
      <c r="D233" s="11" t="s">
        <v>49</v>
      </c>
    </row>
    <row r="234" spans="1:4" x14ac:dyDescent="0.25">
      <c r="A234" s="11" t="s">
        <v>243</v>
      </c>
      <c r="B234" s="11" t="s">
        <v>244</v>
      </c>
      <c r="D234" s="11" t="s">
        <v>49</v>
      </c>
    </row>
    <row r="235" spans="1:4" x14ac:dyDescent="0.25">
      <c r="A235" s="11" t="s">
        <v>245</v>
      </c>
      <c r="B235" s="11" t="s">
        <v>246</v>
      </c>
      <c r="D235" s="11" t="s">
        <v>49</v>
      </c>
    </row>
    <row r="236" spans="1:4" x14ac:dyDescent="0.25">
      <c r="A236" s="11" t="s">
        <v>248</v>
      </c>
      <c r="B236" s="11" t="s">
        <v>249</v>
      </c>
      <c r="D236" s="11" t="s">
        <v>49</v>
      </c>
    </row>
    <row r="237" spans="1:4" x14ac:dyDescent="0.25">
      <c r="A237" s="11" t="s">
        <v>413</v>
      </c>
      <c r="B237" s="11" t="s">
        <v>27</v>
      </c>
      <c r="D237" s="11" t="s">
        <v>49</v>
      </c>
    </row>
    <row r="238" spans="1:4" x14ac:dyDescent="0.25">
      <c r="A238" s="11" t="s">
        <v>414</v>
      </c>
      <c r="B238" s="11" t="s">
        <v>28</v>
      </c>
      <c r="C238" s="11" t="s">
        <v>415</v>
      </c>
      <c r="D238" s="11" t="s">
        <v>49</v>
      </c>
    </row>
    <row r="239" spans="1:4" x14ac:dyDescent="0.25">
      <c r="A239" s="11" t="s">
        <v>232</v>
      </c>
      <c r="B239" s="11" t="s">
        <v>233</v>
      </c>
      <c r="D239" s="11" t="s">
        <v>49</v>
      </c>
    </row>
    <row r="240" spans="1:4" x14ac:dyDescent="0.25">
      <c r="A240" s="11" t="s">
        <v>236</v>
      </c>
      <c r="B240" s="11" t="s">
        <v>237</v>
      </c>
      <c r="D240" s="11" t="s">
        <v>49</v>
      </c>
    </row>
    <row r="241" spans="1:4" x14ac:dyDescent="0.25">
      <c r="A241" s="11" t="s">
        <v>243</v>
      </c>
      <c r="B241" s="11" t="s">
        <v>244</v>
      </c>
      <c r="D241" s="11" t="s">
        <v>49</v>
      </c>
    </row>
    <row r="242" spans="1:4" x14ac:dyDescent="0.25">
      <c r="A242" s="11" t="s">
        <v>248</v>
      </c>
      <c r="B242" s="11" t="s">
        <v>249</v>
      </c>
      <c r="D242" s="11" t="s">
        <v>49</v>
      </c>
    </row>
    <row r="243" spans="1:4" x14ac:dyDescent="0.25">
      <c r="A243" s="11" t="s">
        <v>416</v>
      </c>
      <c r="B243" s="11" t="s">
        <v>29</v>
      </c>
      <c r="D243" s="11" t="s">
        <v>49</v>
      </c>
    </row>
    <row r="244" spans="1:4" x14ac:dyDescent="0.25">
      <c r="A244" s="11" t="s">
        <v>417</v>
      </c>
      <c r="B244" s="11" t="s">
        <v>30</v>
      </c>
      <c r="D244" s="11" t="s">
        <v>49</v>
      </c>
    </row>
    <row r="245" spans="1:4" x14ac:dyDescent="0.25">
      <c r="A245" s="11" t="s">
        <v>418</v>
      </c>
      <c r="B245" s="11" t="s">
        <v>31</v>
      </c>
      <c r="C245" s="11" t="s">
        <v>419</v>
      </c>
      <c r="D245" s="11" t="s">
        <v>49</v>
      </c>
    </row>
    <row r="246" spans="1:4" x14ac:dyDescent="0.25">
      <c r="A246" s="11" t="s">
        <v>376</v>
      </c>
      <c r="B246" s="11" t="s">
        <v>377</v>
      </c>
      <c r="D246" s="11" t="s">
        <v>49</v>
      </c>
    </row>
    <row r="247" spans="1:4" x14ac:dyDescent="0.25">
      <c r="A247" s="11" t="s">
        <v>236</v>
      </c>
      <c r="B247" s="11" t="s">
        <v>237</v>
      </c>
      <c r="D247" s="11" t="s">
        <v>49</v>
      </c>
    </row>
    <row r="248" spans="1:4" x14ac:dyDescent="0.25">
      <c r="A248" s="11" t="s">
        <v>243</v>
      </c>
      <c r="B248" s="11" t="s">
        <v>244</v>
      </c>
      <c r="D248" s="11" t="s">
        <v>49</v>
      </c>
    </row>
    <row r="249" spans="1:4" x14ac:dyDescent="0.25">
      <c r="A249" s="11" t="s">
        <v>382</v>
      </c>
      <c r="B249" s="11" t="s">
        <v>383</v>
      </c>
      <c r="D249" s="11" t="s">
        <v>49</v>
      </c>
    </row>
    <row r="250" spans="1:4" ht="30" x14ac:dyDescent="0.25">
      <c r="A250" s="11" t="s">
        <v>420</v>
      </c>
      <c r="B250" s="11" t="s">
        <v>32</v>
      </c>
      <c r="C250" s="11" t="s">
        <v>421</v>
      </c>
      <c r="D250" s="11" t="s">
        <v>49</v>
      </c>
    </row>
    <row r="251" spans="1:4" x14ac:dyDescent="0.25">
      <c r="A251" s="11" t="s">
        <v>348</v>
      </c>
      <c r="B251" s="11" t="s">
        <v>349</v>
      </c>
      <c r="D251" s="11" t="s">
        <v>49</v>
      </c>
    </row>
    <row r="252" spans="1:4" x14ac:dyDescent="0.25">
      <c r="A252" s="11" t="s">
        <v>422</v>
      </c>
      <c r="B252" s="11" t="s">
        <v>423</v>
      </c>
      <c r="D252" s="11" t="s">
        <v>49</v>
      </c>
    </row>
    <row r="253" spans="1:4" x14ac:dyDescent="0.25">
      <c r="A253" s="11" t="s">
        <v>424</v>
      </c>
      <c r="B253" s="11" t="s">
        <v>425</v>
      </c>
      <c r="D253" s="11" t="s">
        <v>49</v>
      </c>
    </row>
    <row r="254" spans="1:4" x14ac:dyDescent="0.25">
      <c r="A254" s="11" t="s">
        <v>426</v>
      </c>
      <c r="B254" s="11" t="s">
        <v>427</v>
      </c>
      <c r="D254" s="11" t="s">
        <v>49</v>
      </c>
    </row>
    <row r="255" spans="1:4" x14ac:dyDescent="0.25">
      <c r="A255" s="11" t="s">
        <v>428</v>
      </c>
      <c r="B255" s="11" t="s">
        <v>429</v>
      </c>
      <c r="D255" s="11" t="s">
        <v>49</v>
      </c>
    </row>
    <row r="256" spans="1:4" x14ac:dyDescent="0.25">
      <c r="A256" s="11" t="s">
        <v>430</v>
      </c>
      <c r="B256" s="11" t="s">
        <v>429</v>
      </c>
      <c r="D256" s="11" t="s">
        <v>49</v>
      </c>
    </row>
    <row r="257" spans="1:4" x14ac:dyDescent="0.25">
      <c r="A257" s="11" t="s">
        <v>431</v>
      </c>
      <c r="B257" s="11" t="s">
        <v>432</v>
      </c>
      <c r="D257" s="11" t="s">
        <v>49</v>
      </c>
    </row>
    <row r="258" spans="1:4" x14ac:dyDescent="0.25">
      <c r="A258" s="11" t="s">
        <v>433</v>
      </c>
      <c r="B258" s="11" t="s">
        <v>434</v>
      </c>
      <c r="D258" s="11" t="s">
        <v>49</v>
      </c>
    </row>
    <row r="259" spans="1:4" x14ac:dyDescent="0.25">
      <c r="A259" s="11" t="s">
        <v>435</v>
      </c>
      <c r="B259" s="11" t="s">
        <v>436</v>
      </c>
      <c r="D259" s="11" t="s">
        <v>49</v>
      </c>
    </row>
    <row r="260" spans="1:4" x14ac:dyDescent="0.25">
      <c r="A260" s="11" t="s">
        <v>437</v>
      </c>
      <c r="B260" s="11" t="s">
        <v>438</v>
      </c>
      <c r="D260" s="11" t="s">
        <v>49</v>
      </c>
    </row>
    <row r="261" spans="1:4" x14ac:dyDescent="0.25">
      <c r="A261" s="11" t="s">
        <v>439</v>
      </c>
      <c r="B261" s="11" t="s">
        <v>436</v>
      </c>
      <c r="D261" s="11" t="s">
        <v>49</v>
      </c>
    </row>
    <row r="262" spans="1:4" x14ac:dyDescent="0.25">
      <c r="A262" s="11" t="s">
        <v>356</v>
      </c>
      <c r="B262" s="11" t="s">
        <v>357</v>
      </c>
      <c r="D262" s="11" t="s">
        <v>49</v>
      </c>
    </row>
    <row r="263" spans="1:4" x14ac:dyDescent="0.25">
      <c r="A263" s="11" t="s">
        <v>440</v>
      </c>
      <c r="B263" s="11" t="s">
        <v>33</v>
      </c>
      <c r="C263" s="11" t="s">
        <v>441</v>
      </c>
      <c r="D263" s="11" t="s">
        <v>49</v>
      </c>
    </row>
    <row r="264" spans="1:4" x14ac:dyDescent="0.25">
      <c r="A264" s="11" t="s">
        <v>442</v>
      </c>
      <c r="B264" s="11" t="s">
        <v>443</v>
      </c>
      <c r="C264" s="11" t="s">
        <v>393</v>
      </c>
      <c r="D264" s="11" t="s">
        <v>49</v>
      </c>
    </row>
    <row r="265" spans="1:4" x14ac:dyDescent="0.25">
      <c r="A265" s="11" t="s">
        <v>394</v>
      </c>
      <c r="B265" s="11" t="s">
        <v>395</v>
      </c>
      <c r="D265" s="11" t="s">
        <v>49</v>
      </c>
    </row>
    <row r="266" spans="1:4" x14ac:dyDescent="0.25">
      <c r="A266" s="11" t="s">
        <v>396</v>
      </c>
      <c r="B266" s="11" t="s">
        <v>397</v>
      </c>
      <c r="D266" s="11" t="s">
        <v>49</v>
      </c>
    </row>
    <row r="267" spans="1:4" x14ac:dyDescent="0.25">
      <c r="A267" s="11" t="s">
        <v>354</v>
      </c>
      <c r="B267" s="11" t="s">
        <v>355</v>
      </c>
      <c r="D267" s="11" t="s">
        <v>49</v>
      </c>
    </row>
    <row r="268" spans="1:4" x14ac:dyDescent="0.25">
      <c r="A268" s="11" t="s">
        <v>358</v>
      </c>
      <c r="B268" s="11" t="s">
        <v>359</v>
      </c>
      <c r="D268" s="11" t="s">
        <v>49</v>
      </c>
    </row>
    <row r="269" spans="1:4" x14ac:dyDescent="0.25">
      <c r="A269" s="11" t="s">
        <v>444</v>
      </c>
      <c r="B269" s="11" t="s">
        <v>34</v>
      </c>
      <c r="D269" s="11" t="s">
        <v>49</v>
      </c>
    </row>
    <row r="270" spans="1:4" ht="30" x14ac:dyDescent="0.25">
      <c r="A270" s="11" t="s">
        <v>445</v>
      </c>
      <c r="B270" s="11" t="s">
        <v>35</v>
      </c>
      <c r="C270" s="11" t="s">
        <v>446</v>
      </c>
      <c r="D270" s="11" t="s">
        <v>49</v>
      </c>
    </row>
    <row r="271" spans="1:4" x14ac:dyDescent="0.25">
      <c r="A271" s="11" t="s">
        <v>447</v>
      </c>
      <c r="B271" s="11" t="s">
        <v>448</v>
      </c>
      <c r="D271" s="11" t="s">
        <v>49</v>
      </c>
    </row>
    <row r="272" spans="1:4" x14ac:dyDescent="0.25">
      <c r="A272" s="11" t="s">
        <v>449</v>
      </c>
      <c r="B272" s="11" t="s">
        <v>450</v>
      </c>
      <c r="D272" s="11" t="s">
        <v>49</v>
      </c>
    </row>
    <row r="273" spans="1:4" x14ac:dyDescent="0.25">
      <c r="A273" s="11" t="s">
        <v>451</v>
      </c>
      <c r="B273" s="11" t="s">
        <v>452</v>
      </c>
      <c r="D273" s="11" t="s">
        <v>49</v>
      </c>
    </row>
    <row r="274" spans="1:4" x14ac:dyDescent="0.25">
      <c r="A274" s="11" t="s">
        <v>453</v>
      </c>
      <c r="B274" s="11" t="s">
        <v>454</v>
      </c>
      <c r="D274" s="11" t="s">
        <v>49</v>
      </c>
    </row>
    <row r="275" spans="1:4" x14ac:dyDescent="0.25">
      <c r="A275" s="11" t="s">
        <v>455</v>
      </c>
      <c r="B275" s="11" t="s">
        <v>456</v>
      </c>
      <c r="D275" s="11" t="s">
        <v>49</v>
      </c>
    </row>
    <row r="276" spans="1:4" x14ac:dyDescent="0.25">
      <c r="A276" s="11" t="s">
        <v>457</v>
      </c>
      <c r="B276" s="11" t="s">
        <v>458</v>
      </c>
      <c r="D276" s="11" t="s">
        <v>49</v>
      </c>
    </row>
    <row r="277" spans="1:4" x14ac:dyDescent="0.25">
      <c r="A277" s="11" t="s">
        <v>459</v>
      </c>
      <c r="B277" s="11" t="s">
        <v>460</v>
      </c>
      <c r="D277" s="11" t="s">
        <v>49</v>
      </c>
    </row>
    <row r="278" spans="1:4" x14ac:dyDescent="0.25">
      <c r="A278" s="11" t="s">
        <v>461</v>
      </c>
      <c r="B278" s="11" t="s">
        <v>462</v>
      </c>
      <c r="D278" s="11" t="s">
        <v>49</v>
      </c>
    </row>
    <row r="279" spans="1:4" ht="90" x14ac:dyDescent="0.25">
      <c r="A279" s="11" t="s">
        <v>463</v>
      </c>
      <c r="B279" s="11" t="s">
        <v>36</v>
      </c>
      <c r="C279" s="11" t="s">
        <v>464</v>
      </c>
      <c r="D279" s="11" t="s">
        <v>49</v>
      </c>
    </row>
    <row r="280" spans="1:4" x14ac:dyDescent="0.25">
      <c r="A280" s="11" t="s">
        <v>465</v>
      </c>
      <c r="B280" s="11" t="s">
        <v>466</v>
      </c>
      <c r="D280" s="11" t="s">
        <v>49</v>
      </c>
    </row>
    <row r="281" spans="1:4" x14ac:dyDescent="0.25">
      <c r="A281" s="11" t="s">
        <v>467</v>
      </c>
      <c r="B281" s="11" t="s">
        <v>468</v>
      </c>
      <c r="D281" s="11" t="s">
        <v>49</v>
      </c>
    </row>
    <row r="282" spans="1:4" x14ac:dyDescent="0.25">
      <c r="A282" s="11" t="s">
        <v>469</v>
      </c>
      <c r="B282" s="11" t="s">
        <v>470</v>
      </c>
      <c r="D282" s="11" t="s">
        <v>49</v>
      </c>
    </row>
    <row r="283" spans="1:4" x14ac:dyDescent="0.25">
      <c r="A283" s="11" t="s">
        <v>471</v>
      </c>
      <c r="B283" s="11" t="s">
        <v>472</v>
      </c>
      <c r="D283" s="11" t="s">
        <v>49</v>
      </c>
    </row>
    <row r="284" spans="1:4" x14ac:dyDescent="0.25">
      <c r="A284" s="11" t="s">
        <v>473</v>
      </c>
      <c r="B284" s="11" t="s">
        <v>474</v>
      </c>
      <c r="D284" s="11" t="s">
        <v>49</v>
      </c>
    </row>
    <row r="285" spans="1:4" x14ac:dyDescent="0.25">
      <c r="A285" s="11" t="s">
        <v>475</v>
      </c>
      <c r="B285" s="11" t="s">
        <v>476</v>
      </c>
      <c r="D285" s="11" t="s">
        <v>49</v>
      </c>
    </row>
    <row r="286" spans="1:4" x14ac:dyDescent="0.25">
      <c r="A286" s="11" t="s">
        <v>477</v>
      </c>
      <c r="B286" s="11" t="s">
        <v>478</v>
      </c>
      <c r="D286" s="11" t="s">
        <v>49</v>
      </c>
    </row>
    <row r="287" spans="1:4" x14ac:dyDescent="0.25">
      <c r="A287" s="11" t="s">
        <v>479</v>
      </c>
      <c r="B287" s="11" t="s">
        <v>480</v>
      </c>
      <c r="D287" s="11" t="s">
        <v>49</v>
      </c>
    </row>
    <row r="288" spans="1:4" x14ac:dyDescent="0.25">
      <c r="A288" s="11" t="s">
        <v>481</v>
      </c>
      <c r="B288" s="11" t="s">
        <v>482</v>
      </c>
      <c r="D288" s="11" t="s">
        <v>49</v>
      </c>
    </row>
    <row r="289" spans="1:4" x14ac:dyDescent="0.25">
      <c r="A289" s="11" t="s">
        <v>483</v>
      </c>
      <c r="B289" s="11" t="s">
        <v>484</v>
      </c>
      <c r="D289" s="11" t="s">
        <v>49</v>
      </c>
    </row>
    <row r="290" spans="1:4" x14ac:dyDescent="0.25">
      <c r="A290" s="11" t="s">
        <v>485</v>
      </c>
      <c r="B290" s="11" t="s">
        <v>486</v>
      </c>
      <c r="D290" s="11" t="s">
        <v>49</v>
      </c>
    </row>
    <row r="291" spans="1:4" x14ac:dyDescent="0.25">
      <c r="A291" s="11" t="s">
        <v>487</v>
      </c>
      <c r="B291" s="11" t="s">
        <v>488</v>
      </c>
      <c r="D291" s="11" t="s">
        <v>49</v>
      </c>
    </row>
    <row r="292" spans="1:4" x14ac:dyDescent="0.25">
      <c r="A292" s="11" t="s">
        <v>489</v>
      </c>
      <c r="B292" s="11" t="s">
        <v>490</v>
      </c>
      <c r="D292" s="11" t="s">
        <v>49</v>
      </c>
    </row>
    <row r="293" spans="1:4" x14ac:dyDescent="0.25">
      <c r="A293" s="11" t="s">
        <v>491</v>
      </c>
      <c r="B293" s="11" t="s">
        <v>492</v>
      </c>
      <c r="D293" s="11" t="s">
        <v>49</v>
      </c>
    </row>
    <row r="294" spans="1:4" x14ac:dyDescent="0.25">
      <c r="A294" s="11" t="s">
        <v>493</v>
      </c>
      <c r="B294" s="11" t="s">
        <v>494</v>
      </c>
      <c r="D294" s="11" t="s">
        <v>49</v>
      </c>
    </row>
    <row r="295" spans="1:4" x14ac:dyDescent="0.25">
      <c r="A295" s="11" t="s">
        <v>495</v>
      </c>
      <c r="B295" s="11" t="s">
        <v>496</v>
      </c>
      <c r="D295" s="11" t="s">
        <v>49</v>
      </c>
    </row>
    <row r="296" spans="1:4" x14ac:dyDescent="0.25">
      <c r="A296" s="11" t="s">
        <v>497</v>
      </c>
      <c r="B296" s="11" t="s">
        <v>498</v>
      </c>
      <c r="D296" s="11" t="s">
        <v>49</v>
      </c>
    </row>
    <row r="297" spans="1:4" x14ac:dyDescent="0.25">
      <c r="A297" s="11" t="s">
        <v>499</v>
      </c>
      <c r="B297" s="11" t="s">
        <v>500</v>
      </c>
      <c r="D297" s="11" t="s">
        <v>49</v>
      </c>
    </row>
    <row r="298" spans="1:4" x14ac:dyDescent="0.25">
      <c r="A298" s="11" t="s">
        <v>501</v>
      </c>
      <c r="B298" s="11" t="s">
        <v>502</v>
      </c>
      <c r="D298" s="11" t="s">
        <v>49</v>
      </c>
    </row>
    <row r="299" spans="1:4" x14ac:dyDescent="0.25">
      <c r="A299" s="11" t="s">
        <v>503</v>
      </c>
      <c r="B299" s="11" t="s">
        <v>504</v>
      </c>
      <c r="D299" s="11" t="s">
        <v>49</v>
      </c>
    </row>
    <row r="300" spans="1:4" x14ac:dyDescent="0.25">
      <c r="A300" s="11" t="s">
        <v>505</v>
      </c>
      <c r="B300" s="11" t="s">
        <v>506</v>
      </c>
      <c r="D300" s="11" t="s">
        <v>49</v>
      </c>
    </row>
    <row r="301" spans="1:4" x14ac:dyDescent="0.25">
      <c r="A301" s="11" t="s">
        <v>507</v>
      </c>
      <c r="B301" s="11" t="s">
        <v>508</v>
      </c>
      <c r="D301" s="11" t="s">
        <v>49</v>
      </c>
    </row>
    <row r="302" spans="1:4" x14ac:dyDescent="0.25">
      <c r="A302" s="11" t="s">
        <v>509</v>
      </c>
      <c r="B302" s="11" t="s">
        <v>510</v>
      </c>
      <c r="D302" s="11" t="s">
        <v>49</v>
      </c>
    </row>
    <row r="303" spans="1:4" x14ac:dyDescent="0.25">
      <c r="A303" s="11" t="s">
        <v>511</v>
      </c>
      <c r="B303" s="11" t="s">
        <v>512</v>
      </c>
      <c r="D303" s="11" t="s">
        <v>49</v>
      </c>
    </row>
    <row r="304" spans="1:4" x14ac:dyDescent="0.25">
      <c r="A304" s="11" t="s">
        <v>513</v>
      </c>
      <c r="B304" s="11" t="s">
        <v>514</v>
      </c>
      <c r="D304" s="11" t="s">
        <v>49</v>
      </c>
    </row>
    <row r="305" spans="1:4" x14ac:dyDescent="0.25">
      <c r="A305" s="11" t="s">
        <v>515</v>
      </c>
      <c r="B305" s="11" t="s">
        <v>516</v>
      </c>
      <c r="D305" s="11" t="s">
        <v>49</v>
      </c>
    </row>
    <row r="306" spans="1:4" x14ac:dyDescent="0.25">
      <c r="A306" s="11" t="s">
        <v>517</v>
      </c>
      <c r="B306" s="11" t="s">
        <v>518</v>
      </c>
      <c r="D306" s="11" t="s">
        <v>49</v>
      </c>
    </row>
    <row r="307" spans="1:4" x14ac:dyDescent="0.25">
      <c r="A307" s="11" t="s">
        <v>519</v>
      </c>
      <c r="B307" s="11" t="s">
        <v>520</v>
      </c>
      <c r="D307" s="11" t="s">
        <v>49</v>
      </c>
    </row>
    <row r="308" spans="1:4" x14ac:dyDescent="0.25">
      <c r="A308" s="11" t="s">
        <v>521</v>
      </c>
      <c r="B308" s="11" t="s">
        <v>522</v>
      </c>
      <c r="D308" s="11" t="s">
        <v>49</v>
      </c>
    </row>
    <row r="309" spans="1:4" x14ac:dyDescent="0.25">
      <c r="A309" s="11" t="s">
        <v>523</v>
      </c>
      <c r="B309" s="11" t="s">
        <v>524</v>
      </c>
      <c r="D309" s="11" t="s">
        <v>49</v>
      </c>
    </row>
    <row r="310" spans="1:4" x14ac:dyDescent="0.25">
      <c r="A310" s="11" t="s">
        <v>525</v>
      </c>
      <c r="B310" s="11" t="s">
        <v>526</v>
      </c>
      <c r="D310" s="11" t="s">
        <v>49</v>
      </c>
    </row>
    <row r="311" spans="1:4" x14ac:dyDescent="0.25">
      <c r="A311" s="11" t="s">
        <v>527</v>
      </c>
      <c r="B311" s="11" t="s">
        <v>528</v>
      </c>
      <c r="D311" s="11" t="s">
        <v>49</v>
      </c>
    </row>
    <row r="312" spans="1:4" x14ac:dyDescent="0.25">
      <c r="A312" s="11" t="s">
        <v>529</v>
      </c>
      <c r="B312" s="11" t="s">
        <v>530</v>
      </c>
      <c r="D312" s="11" t="s">
        <v>49</v>
      </c>
    </row>
    <row r="313" spans="1:4" x14ac:dyDescent="0.25">
      <c r="A313" s="11" t="s">
        <v>531</v>
      </c>
      <c r="B313" s="11" t="s">
        <v>532</v>
      </c>
      <c r="D313" s="11" t="s">
        <v>49</v>
      </c>
    </row>
    <row r="314" spans="1:4" x14ac:dyDescent="0.25">
      <c r="A314" s="11" t="s">
        <v>533</v>
      </c>
      <c r="B314" s="11" t="s">
        <v>534</v>
      </c>
      <c r="D314" s="11" t="s">
        <v>49</v>
      </c>
    </row>
    <row r="315" spans="1:4" x14ac:dyDescent="0.25">
      <c r="A315" s="11" t="s">
        <v>535</v>
      </c>
      <c r="B315" s="11" t="s">
        <v>536</v>
      </c>
      <c r="D315" s="11" t="s">
        <v>49</v>
      </c>
    </row>
    <row r="316" spans="1:4" x14ac:dyDescent="0.25">
      <c r="A316" s="11" t="s">
        <v>537</v>
      </c>
      <c r="B316" s="11" t="s">
        <v>538</v>
      </c>
      <c r="D316" s="11" t="s">
        <v>49</v>
      </c>
    </row>
    <row r="317" spans="1:4" x14ac:dyDescent="0.25">
      <c r="A317" s="11" t="s">
        <v>539</v>
      </c>
      <c r="B317" s="11" t="s">
        <v>540</v>
      </c>
      <c r="D317" s="11" t="s">
        <v>49</v>
      </c>
    </row>
    <row r="318" spans="1:4" x14ac:dyDescent="0.25">
      <c r="A318" s="11" t="s">
        <v>541</v>
      </c>
      <c r="B318" s="11" t="s">
        <v>542</v>
      </c>
      <c r="D318" s="11" t="s">
        <v>49</v>
      </c>
    </row>
    <row r="319" spans="1:4" x14ac:dyDescent="0.25">
      <c r="A319" s="11" t="s">
        <v>543</v>
      </c>
      <c r="B319" s="11" t="s">
        <v>544</v>
      </c>
      <c r="D319" s="11" t="s">
        <v>49</v>
      </c>
    </row>
    <row r="320" spans="1:4" x14ac:dyDescent="0.25">
      <c r="A320" s="11" t="s">
        <v>545</v>
      </c>
      <c r="B320" s="11" t="s">
        <v>546</v>
      </c>
      <c r="D320" s="11" t="s">
        <v>49</v>
      </c>
    </row>
    <row r="321" spans="1:4" x14ac:dyDescent="0.25">
      <c r="A321" s="11" t="s">
        <v>547</v>
      </c>
      <c r="B321" s="11" t="s">
        <v>548</v>
      </c>
      <c r="D321" s="11" t="s">
        <v>49</v>
      </c>
    </row>
    <row r="322" spans="1:4" x14ac:dyDescent="0.25">
      <c r="A322" s="11" t="s">
        <v>549</v>
      </c>
      <c r="B322" s="11" t="s">
        <v>550</v>
      </c>
      <c r="D322" s="11" t="s">
        <v>49</v>
      </c>
    </row>
    <row r="323" spans="1:4" x14ac:dyDescent="0.25">
      <c r="A323" s="11" t="s">
        <v>551</v>
      </c>
      <c r="B323" s="11" t="s">
        <v>552</v>
      </c>
      <c r="D323" s="11" t="s">
        <v>49</v>
      </c>
    </row>
    <row r="324" spans="1:4" x14ac:dyDescent="0.25">
      <c r="A324" s="11" t="s">
        <v>553</v>
      </c>
      <c r="B324" s="11" t="s">
        <v>554</v>
      </c>
      <c r="D324" s="11" t="s">
        <v>49</v>
      </c>
    </row>
    <row r="325" spans="1:4" x14ac:dyDescent="0.25">
      <c r="A325" s="11" t="s">
        <v>555</v>
      </c>
      <c r="B325" s="11" t="s">
        <v>556</v>
      </c>
      <c r="D325" s="11" t="s">
        <v>49</v>
      </c>
    </row>
    <row r="326" spans="1:4" ht="90" x14ac:dyDescent="0.25">
      <c r="A326" s="11" t="s">
        <v>557</v>
      </c>
      <c r="B326" s="11" t="s">
        <v>37</v>
      </c>
      <c r="C326" s="11" t="s">
        <v>558</v>
      </c>
      <c r="D326" s="11" t="s">
        <v>49</v>
      </c>
    </row>
    <row r="327" spans="1:4" x14ac:dyDescent="0.25">
      <c r="A327" s="11" t="s">
        <v>465</v>
      </c>
      <c r="B327" s="11" t="s">
        <v>466</v>
      </c>
      <c r="D327" s="11" t="s">
        <v>49</v>
      </c>
    </row>
    <row r="328" spans="1:4" x14ac:dyDescent="0.25">
      <c r="A328" s="11" t="s">
        <v>467</v>
      </c>
      <c r="B328" s="11" t="s">
        <v>468</v>
      </c>
      <c r="D328" s="11" t="s">
        <v>49</v>
      </c>
    </row>
    <row r="329" spans="1:4" x14ac:dyDescent="0.25">
      <c r="A329" s="11" t="s">
        <v>469</v>
      </c>
      <c r="B329" s="11" t="s">
        <v>470</v>
      </c>
      <c r="D329" s="11" t="s">
        <v>49</v>
      </c>
    </row>
    <row r="330" spans="1:4" x14ac:dyDescent="0.25">
      <c r="A330" s="11" t="s">
        <v>471</v>
      </c>
      <c r="B330" s="11" t="s">
        <v>472</v>
      </c>
      <c r="D330" s="11" t="s">
        <v>49</v>
      </c>
    </row>
    <row r="331" spans="1:4" x14ac:dyDescent="0.25">
      <c r="A331" s="11" t="s">
        <v>473</v>
      </c>
      <c r="B331" s="11" t="s">
        <v>474</v>
      </c>
      <c r="D331" s="11" t="s">
        <v>49</v>
      </c>
    </row>
    <row r="332" spans="1:4" x14ac:dyDescent="0.25">
      <c r="A332" s="11" t="s">
        <v>475</v>
      </c>
      <c r="B332" s="11" t="s">
        <v>476</v>
      </c>
      <c r="D332" s="11" t="s">
        <v>49</v>
      </c>
    </row>
    <row r="333" spans="1:4" x14ac:dyDescent="0.25">
      <c r="A333" s="11" t="s">
        <v>477</v>
      </c>
      <c r="B333" s="11" t="s">
        <v>478</v>
      </c>
      <c r="D333" s="11" t="s">
        <v>49</v>
      </c>
    </row>
    <row r="334" spans="1:4" x14ac:dyDescent="0.25">
      <c r="A334" s="11" t="s">
        <v>479</v>
      </c>
      <c r="B334" s="11" t="s">
        <v>480</v>
      </c>
      <c r="D334" s="11" t="s">
        <v>49</v>
      </c>
    </row>
    <row r="335" spans="1:4" x14ac:dyDescent="0.25">
      <c r="A335" s="11" t="s">
        <v>481</v>
      </c>
      <c r="B335" s="11" t="s">
        <v>482</v>
      </c>
      <c r="D335" s="11" t="s">
        <v>49</v>
      </c>
    </row>
    <row r="336" spans="1:4" x14ac:dyDescent="0.25">
      <c r="A336" s="11" t="s">
        <v>483</v>
      </c>
      <c r="B336" s="11" t="s">
        <v>484</v>
      </c>
      <c r="D336" s="11" t="s">
        <v>49</v>
      </c>
    </row>
    <row r="337" spans="1:4" x14ac:dyDescent="0.25">
      <c r="A337" s="11" t="s">
        <v>485</v>
      </c>
      <c r="B337" s="11" t="s">
        <v>486</v>
      </c>
      <c r="D337" s="11" t="s">
        <v>49</v>
      </c>
    </row>
    <row r="338" spans="1:4" x14ac:dyDescent="0.25">
      <c r="A338" s="11" t="s">
        <v>487</v>
      </c>
      <c r="B338" s="11" t="s">
        <v>488</v>
      </c>
      <c r="D338" s="11" t="s">
        <v>49</v>
      </c>
    </row>
    <row r="339" spans="1:4" x14ac:dyDescent="0.25">
      <c r="A339" s="11" t="s">
        <v>489</v>
      </c>
      <c r="B339" s="11" t="s">
        <v>490</v>
      </c>
      <c r="D339" s="11" t="s">
        <v>49</v>
      </c>
    </row>
    <row r="340" spans="1:4" x14ac:dyDescent="0.25">
      <c r="A340" s="11" t="s">
        <v>491</v>
      </c>
      <c r="B340" s="11" t="s">
        <v>492</v>
      </c>
      <c r="D340" s="11" t="s">
        <v>49</v>
      </c>
    </row>
    <row r="341" spans="1:4" x14ac:dyDescent="0.25">
      <c r="A341" s="11" t="s">
        <v>493</v>
      </c>
      <c r="B341" s="11" t="s">
        <v>494</v>
      </c>
      <c r="D341" s="11" t="s">
        <v>49</v>
      </c>
    </row>
    <row r="342" spans="1:4" x14ac:dyDescent="0.25">
      <c r="A342" s="11" t="s">
        <v>495</v>
      </c>
      <c r="B342" s="11" t="s">
        <v>496</v>
      </c>
      <c r="D342" s="11" t="s">
        <v>49</v>
      </c>
    </row>
    <row r="343" spans="1:4" x14ac:dyDescent="0.25">
      <c r="A343" s="11" t="s">
        <v>497</v>
      </c>
      <c r="B343" s="11" t="s">
        <v>498</v>
      </c>
      <c r="D343" s="11" t="s">
        <v>49</v>
      </c>
    </row>
    <row r="344" spans="1:4" x14ac:dyDescent="0.25">
      <c r="A344" s="11" t="s">
        <v>499</v>
      </c>
      <c r="B344" s="11" t="s">
        <v>500</v>
      </c>
      <c r="D344" s="11" t="s">
        <v>49</v>
      </c>
    </row>
    <row r="345" spans="1:4" x14ac:dyDescent="0.25">
      <c r="A345" s="11" t="s">
        <v>501</v>
      </c>
      <c r="B345" s="11" t="s">
        <v>502</v>
      </c>
      <c r="D345" s="11" t="s">
        <v>49</v>
      </c>
    </row>
    <row r="346" spans="1:4" x14ac:dyDescent="0.25">
      <c r="A346" s="11" t="s">
        <v>503</v>
      </c>
      <c r="B346" s="11" t="s">
        <v>504</v>
      </c>
      <c r="D346" s="11" t="s">
        <v>49</v>
      </c>
    </row>
    <row r="347" spans="1:4" x14ac:dyDescent="0.25">
      <c r="A347" s="11" t="s">
        <v>505</v>
      </c>
      <c r="B347" s="11" t="s">
        <v>506</v>
      </c>
      <c r="D347" s="11" t="s">
        <v>49</v>
      </c>
    </row>
    <row r="348" spans="1:4" x14ac:dyDescent="0.25">
      <c r="A348" s="11" t="s">
        <v>507</v>
      </c>
      <c r="B348" s="11" t="s">
        <v>508</v>
      </c>
      <c r="D348" s="11" t="s">
        <v>49</v>
      </c>
    </row>
    <row r="349" spans="1:4" x14ac:dyDescent="0.25">
      <c r="A349" s="11" t="s">
        <v>509</v>
      </c>
      <c r="B349" s="11" t="s">
        <v>510</v>
      </c>
      <c r="D349" s="11" t="s">
        <v>49</v>
      </c>
    </row>
    <row r="350" spans="1:4" x14ac:dyDescent="0.25">
      <c r="A350" s="11" t="s">
        <v>511</v>
      </c>
      <c r="B350" s="11" t="s">
        <v>512</v>
      </c>
      <c r="D350" s="11" t="s">
        <v>49</v>
      </c>
    </row>
    <row r="351" spans="1:4" x14ac:dyDescent="0.25">
      <c r="A351" s="11" t="s">
        <v>513</v>
      </c>
      <c r="B351" s="11" t="s">
        <v>514</v>
      </c>
      <c r="D351" s="11" t="s">
        <v>49</v>
      </c>
    </row>
    <row r="352" spans="1:4" x14ac:dyDescent="0.25">
      <c r="A352" s="11" t="s">
        <v>515</v>
      </c>
      <c r="B352" s="11" t="s">
        <v>516</v>
      </c>
      <c r="D352" s="11" t="s">
        <v>49</v>
      </c>
    </row>
    <row r="353" spans="1:4" x14ac:dyDescent="0.25">
      <c r="A353" s="11" t="s">
        <v>517</v>
      </c>
      <c r="B353" s="11" t="s">
        <v>518</v>
      </c>
      <c r="D353" s="11" t="s">
        <v>49</v>
      </c>
    </row>
    <row r="354" spans="1:4" x14ac:dyDescent="0.25">
      <c r="A354" s="11" t="s">
        <v>519</v>
      </c>
      <c r="B354" s="11" t="s">
        <v>520</v>
      </c>
      <c r="D354" s="11" t="s">
        <v>49</v>
      </c>
    </row>
    <row r="355" spans="1:4" x14ac:dyDescent="0.25">
      <c r="A355" s="11" t="s">
        <v>521</v>
      </c>
      <c r="B355" s="11" t="s">
        <v>522</v>
      </c>
      <c r="D355" s="11" t="s">
        <v>49</v>
      </c>
    </row>
    <row r="356" spans="1:4" x14ac:dyDescent="0.25">
      <c r="A356" s="11" t="s">
        <v>523</v>
      </c>
      <c r="B356" s="11" t="s">
        <v>524</v>
      </c>
      <c r="D356" s="11" t="s">
        <v>49</v>
      </c>
    </row>
    <row r="357" spans="1:4" x14ac:dyDescent="0.25">
      <c r="A357" s="11" t="s">
        <v>525</v>
      </c>
      <c r="B357" s="11" t="s">
        <v>526</v>
      </c>
      <c r="D357" s="11" t="s">
        <v>49</v>
      </c>
    </row>
    <row r="358" spans="1:4" x14ac:dyDescent="0.25">
      <c r="A358" s="11" t="s">
        <v>527</v>
      </c>
      <c r="B358" s="11" t="s">
        <v>528</v>
      </c>
      <c r="D358" s="11" t="s">
        <v>49</v>
      </c>
    </row>
    <row r="359" spans="1:4" x14ac:dyDescent="0.25">
      <c r="A359" s="11" t="s">
        <v>529</v>
      </c>
      <c r="B359" s="11" t="s">
        <v>530</v>
      </c>
      <c r="D359" s="11" t="s">
        <v>49</v>
      </c>
    </row>
    <row r="360" spans="1:4" x14ac:dyDescent="0.25">
      <c r="A360" s="11" t="s">
        <v>531</v>
      </c>
      <c r="B360" s="11" t="s">
        <v>532</v>
      </c>
      <c r="D360" s="11" t="s">
        <v>49</v>
      </c>
    </row>
    <row r="361" spans="1:4" x14ac:dyDescent="0.25">
      <c r="A361" s="11" t="s">
        <v>533</v>
      </c>
      <c r="B361" s="11" t="s">
        <v>534</v>
      </c>
      <c r="D361" s="11" t="s">
        <v>49</v>
      </c>
    </row>
    <row r="362" spans="1:4" x14ac:dyDescent="0.25">
      <c r="A362" s="11" t="s">
        <v>535</v>
      </c>
      <c r="B362" s="11" t="s">
        <v>536</v>
      </c>
      <c r="D362" s="11" t="s">
        <v>49</v>
      </c>
    </row>
    <row r="363" spans="1:4" x14ac:dyDescent="0.25">
      <c r="A363" s="11" t="s">
        <v>537</v>
      </c>
      <c r="B363" s="11" t="s">
        <v>538</v>
      </c>
      <c r="D363" s="11" t="s">
        <v>49</v>
      </c>
    </row>
    <row r="364" spans="1:4" x14ac:dyDescent="0.25">
      <c r="A364" s="11" t="s">
        <v>539</v>
      </c>
      <c r="B364" s="11" t="s">
        <v>540</v>
      </c>
      <c r="D364" s="11" t="s">
        <v>49</v>
      </c>
    </row>
    <row r="365" spans="1:4" x14ac:dyDescent="0.25">
      <c r="A365" s="11" t="s">
        <v>541</v>
      </c>
      <c r="B365" s="11" t="s">
        <v>542</v>
      </c>
      <c r="D365" s="11" t="s">
        <v>49</v>
      </c>
    </row>
    <row r="366" spans="1:4" x14ac:dyDescent="0.25">
      <c r="A366" s="11" t="s">
        <v>543</v>
      </c>
      <c r="B366" s="11" t="s">
        <v>544</v>
      </c>
      <c r="D366" s="11" t="s">
        <v>49</v>
      </c>
    </row>
    <row r="367" spans="1:4" x14ac:dyDescent="0.25">
      <c r="A367" s="11" t="s">
        <v>545</v>
      </c>
      <c r="B367" s="11" t="s">
        <v>546</v>
      </c>
      <c r="D367" s="11" t="s">
        <v>49</v>
      </c>
    </row>
    <row r="368" spans="1:4" x14ac:dyDescent="0.25">
      <c r="A368" s="11" t="s">
        <v>547</v>
      </c>
      <c r="B368" s="11" t="s">
        <v>548</v>
      </c>
      <c r="D368" s="11" t="s">
        <v>49</v>
      </c>
    </row>
    <row r="369" spans="1:4" x14ac:dyDescent="0.25">
      <c r="A369" s="11" t="s">
        <v>549</v>
      </c>
      <c r="B369" s="11" t="s">
        <v>550</v>
      </c>
      <c r="D369" s="11" t="s">
        <v>49</v>
      </c>
    </row>
    <row r="370" spans="1:4" x14ac:dyDescent="0.25">
      <c r="A370" s="11" t="s">
        <v>551</v>
      </c>
      <c r="B370" s="11" t="s">
        <v>552</v>
      </c>
      <c r="D370" s="11" t="s">
        <v>49</v>
      </c>
    </row>
    <row r="371" spans="1:4" x14ac:dyDescent="0.25">
      <c r="A371" s="11" t="s">
        <v>553</v>
      </c>
      <c r="B371" s="11" t="s">
        <v>554</v>
      </c>
      <c r="D371" s="11" t="s">
        <v>49</v>
      </c>
    </row>
    <row r="372" spans="1:4" x14ac:dyDescent="0.25">
      <c r="A372" s="11" t="s">
        <v>555</v>
      </c>
      <c r="B372" s="11" t="s">
        <v>556</v>
      </c>
      <c r="D372" s="11" t="s">
        <v>49</v>
      </c>
    </row>
    <row r="373" spans="1:4" x14ac:dyDescent="0.25">
      <c r="A373" s="11" t="s">
        <v>559</v>
      </c>
      <c r="B373" s="11" t="s">
        <v>38</v>
      </c>
      <c r="C373" s="11" t="s">
        <v>560</v>
      </c>
      <c r="D373" s="11" t="s">
        <v>49</v>
      </c>
    </row>
    <row r="374" spans="1:4" x14ac:dyDescent="0.25">
      <c r="A374" s="11" t="s">
        <v>68</v>
      </c>
      <c r="B374" s="11" t="s">
        <v>69</v>
      </c>
      <c r="D374" s="11" t="s">
        <v>49</v>
      </c>
    </row>
    <row r="375" spans="1:4" x14ac:dyDescent="0.25">
      <c r="A375" s="11" t="s">
        <v>70</v>
      </c>
      <c r="B375" s="11" t="s">
        <v>71</v>
      </c>
      <c r="D375" s="11" t="s">
        <v>49</v>
      </c>
    </row>
    <row r="376" spans="1:4" x14ac:dyDescent="0.25">
      <c r="A376" s="11" t="s">
        <v>561</v>
      </c>
      <c r="B376" s="11" t="s">
        <v>39</v>
      </c>
      <c r="C376" s="11" t="s">
        <v>562</v>
      </c>
      <c r="D376" s="11" t="s">
        <v>49</v>
      </c>
    </row>
    <row r="377" spans="1:4" x14ac:dyDescent="0.25">
      <c r="A377" s="11" t="s">
        <v>563</v>
      </c>
      <c r="B377" s="11" t="s">
        <v>564</v>
      </c>
      <c r="D377" s="11" t="s">
        <v>49</v>
      </c>
    </row>
    <row r="378" spans="1:4" x14ac:dyDescent="0.25">
      <c r="A378" s="11" t="s">
        <v>565</v>
      </c>
      <c r="B378" s="11" t="s">
        <v>566</v>
      </c>
      <c r="D378" s="11" t="s">
        <v>49</v>
      </c>
    </row>
    <row r="379" spans="1:4" x14ac:dyDescent="0.25">
      <c r="A379" s="11" t="s">
        <v>567</v>
      </c>
      <c r="B379" s="11" t="s">
        <v>568</v>
      </c>
      <c r="D379" s="11" t="s">
        <v>49</v>
      </c>
    </row>
    <row r="380" spans="1:4" x14ac:dyDescent="0.25">
      <c r="A380" s="11" t="s">
        <v>569</v>
      </c>
      <c r="B380" s="11" t="s">
        <v>40</v>
      </c>
      <c r="D380" s="11" t="s">
        <v>49</v>
      </c>
    </row>
    <row r="381" spans="1:4" ht="105" x14ac:dyDescent="0.25">
      <c r="A381" s="11" t="s">
        <v>570</v>
      </c>
      <c r="B381" s="11" t="s">
        <v>41</v>
      </c>
      <c r="C381" s="11" t="s">
        <v>571</v>
      </c>
      <c r="D381" s="11" t="s">
        <v>49</v>
      </c>
    </row>
    <row r="382" spans="1:4" x14ac:dyDescent="0.25">
      <c r="A382" s="11" t="s">
        <v>74</v>
      </c>
      <c r="B382" s="11" t="s">
        <v>75</v>
      </c>
      <c r="D382" s="11" t="s">
        <v>49</v>
      </c>
    </row>
    <row r="383" spans="1:4" x14ac:dyDescent="0.25">
      <c r="A383" s="11" t="s">
        <v>150</v>
      </c>
      <c r="B383" s="11" t="s">
        <v>151</v>
      </c>
      <c r="D383" s="11" t="s">
        <v>49</v>
      </c>
    </row>
    <row r="384" spans="1:4" x14ac:dyDescent="0.25">
      <c r="A384" s="11" t="s">
        <v>154</v>
      </c>
      <c r="B384" s="11" t="s">
        <v>155</v>
      </c>
      <c r="D384" s="11" t="s">
        <v>49</v>
      </c>
    </row>
    <row r="385" spans="1:4" x14ac:dyDescent="0.25">
      <c r="A385" s="11" t="s">
        <v>158</v>
      </c>
      <c r="B385" s="11" t="s">
        <v>159</v>
      </c>
      <c r="D385" s="11" t="s">
        <v>49</v>
      </c>
    </row>
    <row r="386" spans="1:4" x14ac:dyDescent="0.25">
      <c r="A386" s="11" t="s">
        <v>160</v>
      </c>
      <c r="B386" s="11" t="s">
        <v>161</v>
      </c>
      <c r="D386" s="11" t="s">
        <v>49</v>
      </c>
    </row>
    <row r="387" spans="1:4" x14ac:dyDescent="0.25">
      <c r="A387" s="11" t="s">
        <v>162</v>
      </c>
      <c r="B387" s="11" t="s">
        <v>163</v>
      </c>
      <c r="D387" s="11" t="s">
        <v>49</v>
      </c>
    </row>
    <row r="388" spans="1:4" x14ac:dyDescent="0.25">
      <c r="A388" s="11" t="s">
        <v>166</v>
      </c>
      <c r="B388" s="11" t="s">
        <v>167</v>
      </c>
      <c r="D388" s="11" t="s">
        <v>49</v>
      </c>
    </row>
    <row r="389" spans="1:4" x14ac:dyDescent="0.25">
      <c r="A389" s="11" t="s">
        <v>170</v>
      </c>
      <c r="B389" s="11" t="s">
        <v>171</v>
      </c>
      <c r="D389" s="11" t="s">
        <v>49</v>
      </c>
    </row>
    <row r="390" spans="1:4" x14ac:dyDescent="0.25">
      <c r="A390" s="11" t="s">
        <v>174</v>
      </c>
      <c r="B390" s="11" t="s">
        <v>175</v>
      </c>
      <c r="D390" s="11" t="s">
        <v>49</v>
      </c>
    </row>
    <row r="391" spans="1:4" x14ac:dyDescent="0.25">
      <c r="A391" s="11" t="s">
        <v>178</v>
      </c>
      <c r="B391" s="11" t="s">
        <v>179</v>
      </c>
      <c r="D391" s="11" t="s">
        <v>49</v>
      </c>
    </row>
    <row r="392" spans="1:4" x14ac:dyDescent="0.25">
      <c r="A392" s="11" t="s">
        <v>98</v>
      </c>
      <c r="B392" s="11" t="s">
        <v>99</v>
      </c>
      <c r="D392" s="11" t="s">
        <v>49</v>
      </c>
    </row>
    <row r="393" spans="1:4" x14ac:dyDescent="0.25">
      <c r="A393" s="11" t="s">
        <v>104</v>
      </c>
      <c r="B393" s="11" t="s">
        <v>105</v>
      </c>
      <c r="D393" s="11" t="s">
        <v>49</v>
      </c>
    </row>
    <row r="394" spans="1:4" x14ac:dyDescent="0.25">
      <c r="A394" s="11" t="s">
        <v>106</v>
      </c>
      <c r="B394" s="11" t="s">
        <v>107</v>
      </c>
      <c r="D394" s="11" t="s">
        <v>49</v>
      </c>
    </row>
    <row r="395" spans="1:4" x14ac:dyDescent="0.25">
      <c r="A395" s="11" t="s">
        <v>108</v>
      </c>
      <c r="B395" s="11" t="s">
        <v>109</v>
      </c>
      <c r="D395" s="11" t="s">
        <v>49</v>
      </c>
    </row>
    <row r="396" spans="1:4" x14ac:dyDescent="0.25">
      <c r="A396" s="11" t="s">
        <v>110</v>
      </c>
      <c r="B396" s="11" t="s">
        <v>111</v>
      </c>
      <c r="D396" s="11" t="s">
        <v>49</v>
      </c>
    </row>
    <row r="397" spans="1:4" x14ac:dyDescent="0.25">
      <c r="A397" s="11" t="s">
        <v>194</v>
      </c>
      <c r="B397" s="11" t="s">
        <v>195</v>
      </c>
      <c r="D397" s="11" t="s">
        <v>49</v>
      </c>
    </row>
    <row r="398" spans="1:4" x14ac:dyDescent="0.25">
      <c r="A398" s="11" t="s">
        <v>114</v>
      </c>
      <c r="B398" s="11" t="s">
        <v>115</v>
      </c>
      <c r="D398" s="11" t="s">
        <v>49</v>
      </c>
    </row>
    <row r="399" spans="1:4" x14ac:dyDescent="0.25">
      <c r="A399" s="11" t="s">
        <v>196</v>
      </c>
      <c r="B399" s="11" t="s">
        <v>197</v>
      </c>
      <c r="D399" s="11" t="s">
        <v>49</v>
      </c>
    </row>
    <row r="400" spans="1:4" x14ac:dyDescent="0.25">
      <c r="A400" s="11" t="s">
        <v>118</v>
      </c>
      <c r="B400" s="11" t="s">
        <v>119</v>
      </c>
      <c r="D400" s="11" t="s">
        <v>49</v>
      </c>
    </row>
    <row r="401" spans="1:4" x14ac:dyDescent="0.25">
      <c r="A401" s="11" t="s">
        <v>198</v>
      </c>
      <c r="B401" s="11" t="s">
        <v>199</v>
      </c>
      <c r="D401" s="11" t="s">
        <v>49</v>
      </c>
    </row>
    <row r="402" spans="1:4" x14ac:dyDescent="0.25">
      <c r="A402" s="11" t="s">
        <v>200</v>
      </c>
      <c r="B402" s="11" t="s">
        <v>201</v>
      </c>
      <c r="D402" s="11" t="s">
        <v>49</v>
      </c>
    </row>
    <row r="403" spans="1:4" x14ac:dyDescent="0.25">
      <c r="A403" s="11" t="s">
        <v>208</v>
      </c>
      <c r="B403" s="11" t="s">
        <v>209</v>
      </c>
      <c r="D403" s="11" t="s">
        <v>49</v>
      </c>
    </row>
    <row r="404" spans="1:4" x14ac:dyDescent="0.25">
      <c r="A404" s="11" t="s">
        <v>130</v>
      </c>
      <c r="B404" s="11" t="s">
        <v>131</v>
      </c>
      <c r="D404" s="11" t="s">
        <v>49</v>
      </c>
    </row>
    <row r="405" spans="1:4" x14ac:dyDescent="0.25">
      <c r="A405" s="11" t="s">
        <v>212</v>
      </c>
      <c r="B405" s="11" t="s">
        <v>213</v>
      </c>
      <c r="D405" s="11" t="s">
        <v>49</v>
      </c>
    </row>
    <row r="406" spans="1:4" x14ac:dyDescent="0.25">
      <c r="A406" s="11" t="s">
        <v>134</v>
      </c>
      <c r="B406" s="11" t="s">
        <v>135</v>
      </c>
      <c r="D406" s="11" t="s">
        <v>49</v>
      </c>
    </row>
    <row r="407" spans="1:4" x14ac:dyDescent="0.25">
      <c r="A407" s="11" t="s">
        <v>216</v>
      </c>
      <c r="B407" s="11" t="s">
        <v>217</v>
      </c>
      <c r="D407" s="11" t="s">
        <v>49</v>
      </c>
    </row>
    <row r="408" spans="1:4" x14ac:dyDescent="0.25">
      <c r="A408" s="11" t="s">
        <v>138</v>
      </c>
      <c r="B408" s="11" t="s">
        <v>139</v>
      </c>
      <c r="D408" s="1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Sheet0</vt:lpstr>
      <vt:lpstr>KPI(Counter)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Ngamo Guipdop Chabain Migouel</cp:lastModifiedBy>
  <dcterms:created xsi:type="dcterms:W3CDTF">2025-12-04T08:10:53Z</dcterms:created>
  <dcterms:modified xsi:type="dcterms:W3CDTF">2025-12-19T09:41:21Z</dcterms:modified>
</cp:coreProperties>
</file>